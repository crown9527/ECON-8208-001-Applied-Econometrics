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9527document/python code /CEF/CEF_M2/CEF Project/"/>
    </mc:Choice>
  </mc:AlternateContent>
  <xr:revisionPtr revIDLastSave="0" documentId="13_ncr:1_{BCBD2166-5060-C942-96D8-29D57EF6B6D2}" xr6:coauthVersionLast="47" xr6:coauthVersionMax="47" xr10:uidLastSave="{00000000-0000-0000-0000-000000000000}"/>
  <bookViews>
    <workbookView xWindow="5280" yWindow="2100" windowWidth="27440" windowHeight="16440" xr2:uid="{1A49054C-7FF1-4043-8B6A-F002B455B9D6}"/>
  </bookViews>
  <sheets>
    <sheet name="Economic Outlook" sheetId="1" r:id="rId1"/>
    <sheet name="sale tax" sheetId="5" r:id="rId2"/>
    <sheet name="popul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OECD.Stat</author>
  </authors>
  <commentList>
    <comment ref="V73" authorId="0" shapeId="0" xr:uid="{A06DD553-ACB8-784B-8FA9-332954DE9E4C}">
      <text>
        <r>
          <rPr>
            <sz val="9"/>
            <color indexed="8"/>
            <rFont val="Tahoma"/>
            <family val="2"/>
          </rPr>
          <t>B: Break</t>
        </r>
      </text>
    </comment>
    <comment ref="W73" authorId="0" shapeId="0" xr:uid="{B650351B-82C8-2743-9037-C4F21150FCF3}">
      <text>
        <r>
          <rPr>
            <sz val="9"/>
            <color rgb="FF000000"/>
            <rFont val="Tahoma"/>
            <family val="2"/>
          </rPr>
          <t>B: Break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OECD.Stat</author>
  </authors>
  <commentList>
    <comment ref="C73" authorId="0" shapeId="0" xr:uid="{39279282-BD88-1D48-8047-6D368E0A2E9F}">
      <text>
        <r>
          <rPr>
            <sz val="9"/>
            <color indexed="8"/>
            <rFont val="Tahoma"/>
            <family val="2"/>
          </rPr>
          <t>B: Break</t>
        </r>
      </text>
    </comment>
    <comment ref="D73" authorId="0" shapeId="0" xr:uid="{ADBFC4FF-FD4B-974E-94DF-42402720B9CD}">
      <text>
        <r>
          <rPr>
            <sz val="9"/>
            <color indexed="8"/>
            <rFont val="Tahoma"/>
            <family val="2"/>
          </rPr>
          <t>B: Break</t>
        </r>
      </text>
    </comment>
  </commentList>
</comments>
</file>

<file path=xl/sharedStrings.xml><?xml version="1.0" encoding="utf-8"?>
<sst xmlns="http://schemas.openxmlformats.org/spreadsheetml/2006/main" count="843" uniqueCount="342">
  <si>
    <t>&lt;?xml version="1.0"?&gt;&lt;WebTableParameter xmlns:xsd="http://www.w3.org/2001/XMLSchema" xmlns:xsi="http://www.w3.org/2001/XMLSchema-instance" xmlns=""&gt;&lt;DataTable Code="EO98_INTERNET" HasMetadata="true"&gt;&lt;Name LocaleIsoCode="en"&gt;Economic Outlook No 98 - November 2015 &lt;/Name&gt;&lt;Name LocaleIsoCode="fr"&gt;Perspectives Economiques No 98 - Novembre 2015 &lt;/Name&gt;&lt;Dimension Code="LOCATION" CommonCode="LOCATION" Display="labels"&gt;&lt;Name LocaleIsoCode="en"&gt;Country&lt;/Name&gt;&lt;Name LocaleIsoCode="fr"&gt;Pays&lt;/Name&gt;&lt;Member Code="USA" HasOnlyUnitMetadata="false"&gt;&lt;Name LocaleIsoCode="en"&gt;United States&lt;/Name&gt;&lt;Name LocaleIsoCode="fr"&gt;États-Unis&lt;/Name&gt;&lt;/Member&gt;&lt;/Dimension&gt;&lt;Dimension Code="VARIABLE" Display="labels"&gt;&lt;Name LocaleIsoCode="en"&gt;Variable&lt;/Name&gt;&lt;Name LocaleIsoCode="fr"&gt;Variable&lt;/Name&gt;&lt;Member Code="CG" HasOnlyUnitMetadata="false"&gt;&lt;Name LocaleIsoCode="en"&gt;Government final consumption expenditure, value, GDP expenditure approach&lt;/Name&gt;&lt;Name LocaleIsoCode="fr"&gt;Dépense de consommation finale des administrations publiques, prix courants, PIB optique des dépenses&lt;/Name&gt;&lt;/Member&gt;&lt;Member Code="CP" HasOnlyUnitMetadata="false"&gt;&lt;Name LocaleIsoCode="en"&gt;Private final consumption expenditure, value, GDP expenditure approach&lt;/Name&gt;&lt;Name LocaleIsoCode="fr"&gt;Dépense de consommation finale du secteur privé, prix courants, PIB optique des dépenses&lt;/Name&gt;&lt;/Member&gt;&lt;Member Code="GDP" HasOnlyUnitMetadata="false"&gt;&lt;Name LocaleIsoCode="en"&gt;Gross domestic product, value, market prices&lt;/Name&gt;&lt;Name LocaleIsoCode="fr"&gt;Produit intérieur brut, prix du marché, prix courants&lt;/Name&gt;&lt;/Member&gt;&lt;Member Code="IT" HasOnlyUnitMetadata="false"&gt;&lt;Name LocaleIsoCode="en"&gt;Gross fixed capital formation, total, value&lt;/Name&gt;&lt;Name LocaleIsoCode="fr"&gt;Formation brute de capital fixe, total, prix courants&lt;/Name&gt;&lt;/Member&gt;&lt;Member Code="ITISK" HasOnlyUnitMetadata="false"&gt;&lt;Name LocaleIsoCode="en"&gt;Gross capital formation, current prices&lt;/Name&gt;&lt;Name LocaleIsoCode="fr"&gt;Formation brute de capital, prix courants&lt;/Name&gt;&lt;/Member&gt;&lt;Member Code="MGS" HasOnlyUnitMetadata="false"&gt;&lt;Name LocaleIsoCode="en"&gt;Imports of goods and services, value, National Accounts basis&lt;/Name&gt;&lt;Name LocaleIsoCode="fr"&gt;Importations des biens et services, prix courants, selon les comptes nationaux&lt;/Name&gt;&lt;/Member&gt;&lt;Member Code="XGS" HasOnlyUnitMetadata="false"&gt;&lt;Name LocaleIsoCode="en"&gt;Exports of goods and services, value, National Accounts basis&lt;/Name&gt;&lt;Name LocaleIsoCode="fr"&gt;Exportations de biens et services, prix courants, selon les comptes nationaux&lt;/Name&gt;&lt;/Member&gt;&lt;Member Code="CPI" HasOnlyUnitMetadata="false"&gt;&lt;Name LocaleIsoCode="en"&gt;Consumer price index&lt;/Name&gt;&lt;Name LocaleIsoCode="fr"&gt;Indice des prix à la consommation&lt;/Name&gt;&lt;/Member&gt;&lt;Member Code="PXGS" HasOnlyUnitMetadata="false"&gt;&lt;Name LocaleIsoCode="en"&gt;Exports of goods and services, deflator, National Accounts basis&lt;/Name&gt;&lt;Name LocaleIsoCode="fr"&gt;Exportations de biens et services, déflateur, selon les comptes nationaux&lt;/Name&gt;&lt;/Member&gt;&lt;Member Code="PIT" HasOnlyUnitMetadata="false"&gt;&lt;Name LocaleIsoCode="en"&gt;Gross total fixed capital formation, deflator&lt;/Name&gt;&lt;Name LocaleIsoCode="fr"&gt;Formation brute de capital fixe, total, déflateur&lt;/Name&gt;&lt;/Member&gt;&lt;Member Code="PITISK" HasOnlyUnitMetadata="false"&gt;&lt;Name LocaleIsoCode="en"&gt;Gross capital formation, deflator&lt;/Name&gt;&lt;Name LocaleIsoCode="fr"&gt;Formation de capital fixe, déflateur&lt;/Name&gt;&lt;/Member&gt;&lt;Member Code="PMGS" HasOnlyUnitMetadata="false"&gt;&lt;Name LocaleIsoCode="en"&gt;Imports of goods and services,deflator, National Accounts basis&lt;/Name&gt;&lt;Name LocaleIsoCode="fr"&gt;Importations de biens et services, déflateur, selon les comptes nationaux&lt;/Name&gt;&lt;/Member&gt;&lt;Member Code="PGDP" HasOnlyUnitMetadata="false"&gt;&lt;Name LocaleIsoCode="en"&gt;Gross domestic product, deflator, market prices&lt;/Name&gt;&lt;Name LocaleIsoCode="fr"&gt;Produit intérieur brut, prix du marché, déflateur&lt;/Name&gt;&lt;/Member&gt;&lt;Member Code="PCP" HasOnlyUnitMetadata="false"&gt;&lt;Name LocaleIsoCode="en"&gt;Private final consumption expenditure, deflator&lt;/Name&gt;&lt;Name LocaleIsoCode="fr"&gt;Dépense de consommation finale du secteur privé, déflateur&lt;/Name&gt;&lt;/Member&gt;&lt;Member Code="PCG" HasOnlyUnitMetadata="false"&gt;&lt;Name LocaleIsoCode="en"&gt;Government final consumption expenditure, deflator&lt;/Name&gt;&lt;Name LocaleIsoCode="fr"&gt;Dépense de consommation finale des administrations publiques, déflateur&lt;/Name&gt;&lt;/Member&gt;&lt;Member Code="ET" HasOnlyUnitMetadata="false"&gt;&lt;Name LocaleIsoCode="en"&gt;Total employment&lt;/Name&gt;&lt;Name LocaleIsoCode="fr"&gt;Emploi total&lt;/Name&gt;&lt;/Member&gt;&lt;Member Code="HRS" HasOnlyUnitMetadata="false"&gt;&lt;Name LocaleIsoCode="en"&gt;Hours worked per employee, total economy&lt;/Name&gt;&lt;Name LocaleIsoCode="fr"&gt;Heures travaillées par salarié, ensemble de l'économie&lt;/Name&gt;&lt;/Member&gt;&lt;/Dimension&gt;&lt;Dimension Code="FAKEUNITDIM" xmlns=""&gt;&lt;Name LocaleIsoCode="en"&gt;Unit&lt;/Name&gt;&lt;Name LocaleIsoCode="fr"&gt;Unité&lt;/Name&gt;&lt;Member Code="FAKEUNITMEMBERCODE"&gt;&lt;Name LocaleIsoCode="en"&gt;Default Unit&lt;/Name&gt;&lt;Name LocaleIsoCode="fr"&gt;Unité par défaut&lt;/Name&gt;&lt;/Member&gt;&lt;/Dimension&gt;&lt;Dimension Code="FREQUENCY" CommonCode="FREQUENCY" Display="labels"&gt;&lt;Name LocaleIsoCode="en"&gt;Frequency&lt;/Name&gt;&lt;Name LocaleIsoCode="fr"&gt;Fréquence&lt;/Name&gt;&lt;Member Code="Q"&gt;&lt;Name LocaleIsoCode="en"&gt;Quarterly&lt;/Name&gt;&lt;Name LocaleIsoCode="fr"&gt;Trimestrielle&lt;/Name&gt;&lt;/Member&gt;&lt;/Dimension&gt;&lt;Dimension Code="TIME" CommonCode="TIME" Display="labels"&gt;&lt;Name LocaleIsoCode="en"&gt;Time&lt;/Name&gt;&lt;Name LocaleIsoCode="fr"&gt;Temps&lt;/Name&gt;&lt;Member Code="1960Q1"&gt;&lt;Name LocaleIsoCode="en"&gt;Q1-1960&lt;/Name&gt;&lt;Name LocaleIsoCode="fr"&gt;T1-1960&lt;/Name&gt;&lt;/Member&gt;&lt;Member Code="1960Q2"&gt;&lt;Name LocaleIsoCode="en"&gt;Q2-1960&lt;/Name&gt;&lt;Name LocaleIsoCode="fr"&gt;T2-1960&lt;/Name&gt;&lt;/Member&gt;&lt;Member Code="1960Q3"&gt;&lt;Name LocaleIsoCode="en"&gt;Q3-1960&lt;/Name&gt;&lt;Name LocaleIsoCode="fr"&gt;T3-1960&lt;/Name&gt;&lt;/Member&gt;&lt;Member Code="1960Q4"&gt;&lt;Name LocaleIsoCode="en"&gt;Q4-1960&lt;/Name&gt;&lt;Name LocaleIsoCode="fr"&gt;T4-1960&lt;/Name&gt;&lt;/Member&gt;&lt;Member Code="1961Q1"&gt;&lt;Name LocaleIsoCode="en"&gt;Q1-1961&lt;/Name&gt;&lt;Name LocaleIsoCode="fr"&gt;T1-1961&lt;/Name&gt;&lt;/Member&gt;&lt;Member Code="1961Q2"&gt;&lt;Name LocaleIsoCode="en"&gt;Q2-1961&lt;/Name&gt;&lt;Name LocaleIsoCode="fr"&gt;T2-1961&lt;/Name&gt;&lt;/Member&gt;&lt;Member Code="1961Q3"&gt;&lt;Name LocaleIsoCode="en"&gt;Q3-1961&lt;/Name&gt;&lt;Name LocaleIsoCode="fr"&gt;T3-1961&lt;/Name&gt;&lt;/Member&gt;&lt;Member Code="1961Q4"&gt;&lt;Name LocaleIsoCode="en"&gt;Q4-1961&lt;/Name&gt;&lt;Name LocaleIsoCode="fr"&gt;T4-1961&lt;/Name&gt;&lt;/Member&gt;&lt;Member Code="1962Q1"&gt;&lt;Name LocaleIsoCode="en"&gt;Q1-1962&lt;/Name&gt;&lt;Name LocaleIsoCode="fr"&gt;T1-1962&lt;/Name&gt;&lt;/Member&gt;&lt;Member Code="1962Q2"&gt;&lt;Name LocaleIsoCode="en"&gt;Q2-1962&lt;/Name&gt;&lt;Name LocaleIsoCode="fr"&gt;T2-1962&lt;/Name&gt;&lt;/Member&gt;&lt;Member Code="1962Q3"&gt;&lt;Name LocaleIsoCode="en"&gt;Q3-1962&lt;/Name&gt;&lt;Name LocaleIsoCode="fr"&gt;T3-1962&lt;/Name&gt;&lt;/Member&gt;&lt;Member Code="1962Q4"&gt;&lt;Name LocaleIsoCode="en"&gt;Q4-1962&lt;/Name&gt;&lt;Name LocaleIsoCode="fr"&gt;T4-1962&lt;/Name&gt;&lt;/Member&gt;&lt;Member Code="1963Q1"&gt;&lt;Name LocaleIsoCode="en"&gt;Q1-1963&lt;/Name&gt;&lt;Name LocaleIsoCode="fr"&gt;T1-1963&lt;/Name&gt;&lt;/Member&gt;&lt;Member Code="1963Q2"&gt;&lt;Name LocaleIsoCode="en"&gt;Q2-1963&lt;/Name&gt;&lt;Name LocaleIsoCode="fr"&gt;T2-1963&lt;/Name&gt;&lt;/Member&gt;&lt;Member Code="1963Q3"&gt;&lt;Name LocaleIsoCode="en"&gt;Q3-1963&lt;/Name&gt;&lt;Name LocaleIsoCode="fr"&gt;T3-1963&lt;/Name&gt;&lt;/Member&gt;&lt;Member Code="1963Q4"&gt;&lt;Name LocaleIsoCode="en"&gt;Q4-1963&lt;/Name&gt;&lt;Name LocaleIsoCode="fr"&gt;T4-1963&lt;/Name&gt;&lt;/Member&gt;&lt;Member Code="1964Q1"&gt;&lt;Name LocaleIsoCode="en"&gt;Q1-1964&lt;/Name&gt;&lt;Name LocaleIsoCode="fr"&gt;T1-1964&lt;/Name&gt;&lt;/Member&gt;&lt;Member Code="1964Q2"&gt;&lt;Name LocaleIsoCode="en"&gt;Q2-1964&lt;/Name&gt;&lt;Name LocaleIsoCode="fr"&gt;T2-1964&lt;/Name&gt;&lt;/Member&gt;&lt;Member Code="1964Q3"&gt;&lt;Name LocaleIsoCode="en"&gt;Q3-1964&lt;/Name&gt;&lt;Name LocaleIsoCode="fr"&gt;T3-1964&lt;/Name&gt;&lt;/Member&gt;&lt;Member Code="1964Q4"&gt;&lt;Name LocaleIsoCode="en"&gt;Q4-1964&lt;/Name&gt;&lt;Name LocaleIsoCode="fr"&gt;T4-1964&lt;/Name&gt;&lt;/Member&gt;&lt;Member Code="1965Q1"&gt;&lt;Name LocaleIsoCode="en"&gt;Q1-1965&lt;/Name&gt;&lt;Name LocaleIsoCode="fr"&gt;T1-1965&lt;/Name&gt;&lt;/Member&gt;&lt;Member Code="1965Q2"&gt;&lt;Name LocaleIsoCode="en"&gt;Q2-1965&lt;/Name&gt;&lt;Name LocaleIsoCode="fr"&gt;T2-1965&lt;/Name&gt;&lt;/Member&gt;&lt;Member Code="1965Q3"&gt;&lt;Name LocaleIsoCode="en"&gt;Q3-1965&lt;/Name&gt;&lt;Name LocaleIsoCode="fr"&gt;T3-1965&lt;/Name&gt;&lt;/Member&gt;&lt;Member Code="1965Q4"&gt;&lt;Name LocaleIsoCode="en"&gt;Q4-1965&lt;/Name&gt;&lt;Name LocaleIsoCode="fr"&gt;T4-1965&lt;/Name&gt;&lt;/Member&gt;&lt;Member Code="1966Q1"&gt;&lt;Name LocaleIsoCode="en"&gt;Q1-1966&lt;/Name&gt;&lt;Name LocaleIsoCode="fr"&gt;T1-1966&lt;/Name&gt;&lt;/Member&gt;&lt;Member Code="1966Q2"&gt;&lt;Name LocaleIsoCode="en"&gt;Q2-1966&lt;/Name&gt;&lt;Name LocaleIsoCode="fr"&gt;T2-1966&lt;/Name&gt;&lt;/Member&gt;&lt;Member Code="1966Q3"&gt;&lt;Name LocaleIsoCode="en"&gt;Q3-1966&lt;/Name&gt;&lt;Name LocaleIsoCode="fr"&gt;T3-1966&lt;/Name&gt;&lt;/Member&gt;&lt;Member Code="1966Q4"&gt;&lt;Name LocaleIsoCode="en"&gt;Q4-1966&lt;/Name&gt;&lt;Name LocaleIsoCode="fr"&gt;T4-1966&lt;/Name&gt;&lt;/Member&gt;&lt;Member Code="1967Q1"&gt;&lt;Name LocaleIsoCode="en"&gt;Q1-1967&lt;/Name&gt;&lt;Name LocaleIsoCode="fr"&gt;T1-1967&lt;/Name&gt;&lt;/Member&gt;&lt;Member Code="1967Q2"&gt;&lt;Name LocaleIsoCode="en"&gt;Q2-1967&lt;/Name&gt;&lt;Name LocaleIsoCode="fr"&gt;T2-1967&lt;/Name&gt;&lt;/Member&gt;&lt;Member Code="1967Q3"&gt;&lt;Name LocaleIsoCode="en"&gt;Q3-1967&lt;/Name&gt;&lt;Name LocaleIsoCode="fr"&gt;T3-1967&lt;/Name&gt;&lt;/Member&gt;&lt;Member Code="1967Q4"&gt;&lt;Name LocaleIsoCode="en"&gt;Q4-1967&lt;/Name&gt;&lt;Name LocaleIsoCode="fr"&gt;T4-1967&lt;/Name&gt;&lt;/Member&gt;&lt;Member Code="1968Q1"&gt;&lt;Name LocaleIsoCode="en"&gt;Q1-1968&lt;/Name&gt;&lt;Name LocaleIsoCode="fr"&gt;T1-1968&lt;/Name&gt;&lt;/Member&gt;&lt;Member Code="1968Q2"&gt;&lt;Name LocaleIsoCode="en"&gt;Q2-1968&lt;/Name&gt;&lt;Name LocaleIsoCode="fr"&gt;T2-1968&lt;/Name&gt;&lt;/Member&gt;&lt;Member Code="1968Q3"&gt;&lt;Name LocaleIsoCode="en"&gt;Q3-1968&lt;/Name&gt;&lt;Name LocaleIsoCode="fr"&gt;T3-1968&lt;/Name&gt;&lt;/Member&gt;&lt;Member Code="1968Q4"&gt;&lt;Name LocaleIsoCode="en"&gt;Q4-1968&lt;/Name&gt;&lt;Name LocaleIsoCode="fr"&gt;T4-1968&lt;/Name&gt;&lt;/Member&gt;&lt;Member Code="1969Q1"&gt;&lt;Name LocaleIsoCode="en"&gt;Q1-1969&lt;/Name&gt;&lt;Name LocaleIsoCode="fr"&gt;T1-1969&lt;/Name&gt;&lt;/Member&gt;&lt;Member Code="1969Q2"&gt;&lt;Name LocaleIsoCode="en"&gt;Q2-1969&lt;/Name&gt;&lt;Name LocaleIsoCode="fr"&gt;T2-1969&lt;/Name&gt;&lt;/Member&gt;&lt;Member Code="1969Q3"&gt;&lt;Name LocaleIsoCode="en"&gt;Q3-1969&lt;/Name&gt;&lt;Name LocaleIsoCode="fr"&gt;T3-1969&lt;/Name&gt;&lt;/Member&gt;&lt;Member Code="1969Q4"&gt;&lt;Name LocaleIsoCode="en"&gt;Q4-1969&lt;/Name&gt;&lt;Name LocaleIsoCode="fr"&gt;T4-1969&lt;/Name&gt;&lt;/Member&gt;&lt;Member Code="1970Q1"&gt;&lt;Name LocaleIsoCode="en"&gt;Q1-1970&lt;/Name&gt;&lt;Name LocaleIsoCode="fr"&gt;T1-1970&lt;/Name&gt;&lt;/Member&gt;&lt;Member Code="1970Q2"&gt;&lt;Name LocaleIsoCode="en"&gt;Q2-1970&lt;/Name&gt;&lt;Name LocaleIsoCode="fr"&gt;T2-1970&lt;/Name&gt;&lt;/Member&gt;&lt;Member Code="1970Q3"&gt;&lt;Name LocaleIsoCode="en"&gt;Q3-1970&lt;/Name&gt;&lt;Name LocaleIsoCode="fr"&gt;T3-1970&lt;/Name&gt;&lt;/Member&gt;&lt;Member Code="1970Q4"&gt;&lt;Name LocaleIsoCode="en"&gt;Q4-1970&lt;/Name&gt;&lt;Name LocaleIsoCode="fr"&gt;T4-1970&lt;/Name&gt;&lt;/Member&gt;&lt;Member Code="1971Q1"&gt;&lt;Name LocaleIsoCode="en"&gt;Q1-1971&lt;/Name&gt;&lt;Name LocaleIsoCode="fr"&gt;T1-1971&lt;/Name&gt;&lt;/Member&gt;&lt;Member Code="1971Q2"&gt;&lt;Name LocaleIsoCode="en"&gt;Q2-1971&lt;/Name&gt;&lt;Name LocaleIsoCode="fr"&gt;T2-1971&lt;/Name&gt;&lt;/Member&gt;&lt;Member Code="1971Q3"&gt;&lt;Name LocaleIsoCode="en"&gt;Q3-1971&lt;/Name&gt;&lt;Name LocaleIsoCode="fr"&gt;T3-1971&lt;/Name&gt;&lt;/Member&gt;&lt;Member Code="1971Q4"&gt;&lt;Name LocaleIsoCode="en"&gt;Q4-1971&lt;/Name&gt;&lt;Name LocaleIsoCode="fr"&gt;T4-1971&lt;/Name&gt;&lt;/Member&gt;&lt;Member Code="1972Q1"&gt;&lt;Name LocaleIsoCode="en"&gt;Q1-1972&lt;/Name&gt;&lt;Name LocaleIsoCode="fr"&gt;T1-1972&lt;/Name&gt;&lt;/Member&gt;&lt;Member Code="1972Q2"&gt;&lt;Name LocaleIsoCode="en"&gt;Q2-1972&lt;/Name&gt;&lt;Name LocaleIsoCode="fr"&gt;T2-1972&lt;/Name&gt;&lt;/Member&gt;&lt;Member Code="1972Q3"&gt;&lt;Name LocaleIsoCode="en"&gt;Q3-1972&lt;/Name&gt;&lt;Name LocaleIsoCode="fr"&gt;T3-1972&lt;/Name&gt;&lt;/Member&gt;&lt;Member Code="1972Q4"&gt;&lt;Name LocaleIsoCode="en"&gt;Q4-1972&lt;/Name&gt;&lt;Name LocaleIsoCode="fr"&gt;T4-1972&lt;/Name&gt;&lt;/Member&gt;&lt;Member Code="1973Q1"&gt;&lt;Name LocaleIsoCode="en"&gt;Q1-1973&lt;/Name&gt;&lt;Name LocaleIsoCode="fr"&gt;T1-1973&lt;/Name&gt;&lt;/Member&gt;&lt;Member Code="1973Q2"&gt;&lt;Name LocaleIsoCode="en"&gt;Q2-1973&lt;/Name&gt;&lt;Name LocaleIsoCode="fr"&gt;T2-1973&lt;/Name&gt;&lt;/Member&gt;&lt;Member Code="1973Q3"&gt;&lt;Name LocaleIsoCode="en"&gt;Q3-1973&lt;/Name&gt;&lt;Name LocaleIsoCode="fr"&gt;T3-1973&lt;/Name&gt;&lt;/Member&gt;&lt;Member Code="1973Q4"&gt;&lt;Name LocaleIsoCode="en"&gt;Q4-1973&lt;/Name&gt;&lt;Name LocaleIsoCode="fr"&gt;T4-1973&lt;/Name&gt;&lt;/Member&gt;&lt;Member Code="1974Q1"&gt;&lt;Name LocaleIsoCode="en"&gt;Q1-1974&lt;/Name&gt;&lt;Name LocaleIsoCode="fr"&gt;T1-1974&lt;/Name&gt;&lt;/Member&gt;&lt;Member Code="1974Q2"&gt;&lt;Name LocaleIsoCode="en"&gt;Q2-1974&lt;/Name&gt;&lt;Name LocaleIsoCode="fr"&gt;T2-1974&lt;/Name&gt;&lt;/Member&gt;&lt;Member Code="1974Q3"&gt;&lt;Name LocaleIsoCode="en"&gt;Q3-1974&lt;/Name&gt;&lt;Name LocaleIsoCode="fr"&gt;T3-1974&lt;/Name&gt;&lt;/Member&gt;&lt;Member Code="1974Q4"&gt;&lt;Name LocaleIsoCode="en"&gt;Q4-1974&lt;/Name&gt;&lt;Name LocaleIsoCode="fr"&gt;T4-1974&lt;/Name&gt;&lt;/Member&gt;&lt;Member Code="1975Q1"&gt;&lt;Name LocaleIsoCode="en"&gt;Q1-1975&lt;/Name&gt;&lt;Name LocaleIsoCode="fr"&gt;T1-1975&lt;/Name&gt;&lt;/Member&gt;&lt;Member Code="1975Q2"&gt;&lt;Name LocaleIsoCode="en"&gt;Q2-1975&lt;/Name&gt;&lt;Name LocaleIsoCode="fr"&gt;T2-1975&lt;/Name&gt;&lt;/Member&gt;&lt;Member Code="1975Q3"&gt;&lt;Name LocaleIsoCode="en"&gt;Q3-1975&lt;/Name&gt;&lt;Name LocaleIsoCode="fr"&gt;T3-1975&lt;/Name&gt;&lt;/Member&gt;&lt;Member Code="1975Q4"&gt;&lt;Name LocaleIsoCode="en"&gt;Q4-1975&lt;/Name&gt;&lt;Name LocaleIsoCode="fr"&gt;T4-1975&lt;/Name&gt;&lt;/Member&gt;&lt;Member Code="1976Q1"&gt;&lt;Name LocaleIsoCode="en"&gt;Q1-1976&lt;/Name&gt;&lt;Name LocaleIsoCode="fr"&gt;T1-1976&lt;/Name&gt;&lt;/Member&gt;&lt;Member Code="1976Q2"&gt;&lt;Name LocaleIsoCode="en"&gt;Q2-1976&lt;/Name&gt;&lt;Name LocaleIsoCode="fr"&gt;T2-1976&lt;/Name&gt;&lt;/Member&gt;&lt;Member Code="1976Q3"&gt;&lt;Name LocaleIsoCode="en"&gt;Q3-1976&lt;/Name&gt;&lt;Name LocaleIsoCode="fr"&gt;T3-1976&lt;/Name&gt;&lt;/Member&gt;&lt;Member Code="1976Q4"&gt;&lt;Name LocaleIsoCode="en"&gt;Q4-1976&lt;/Name&gt;&lt;Name LocaleIsoCode="fr"&gt;T4-1976&lt;/Name&gt;&lt;/Member&gt;&lt;Member Code="1977Q1"&gt;&lt;Name LocaleIsoCode="en"&gt;Q1-1977&lt;/Name&gt;&lt;Name LocaleIsoCode="fr"&gt;T1-1977&lt;/Name&gt;&lt;/Member&gt;&lt;Member Code="1977Q2"&gt;&lt;Name LocaleIsoCode="en"&gt;Q2-1977&lt;/Name&gt;&lt;Name LocaleIsoCode="fr"&gt;T2-1977&lt;/Name&gt;&lt;/Member&gt;&lt;Member Code="1977Q3"&gt;&lt;Name LocaleIsoCode="en"&gt;Q3-1977&lt;/Name&gt;&lt;Name LocaleIsoCode="fr"&gt;T3-1977&lt;/Name&gt;&lt;/Member&gt;&lt;Member Code="1977Q4"&gt;&lt;Name LocaleIsoCode="en"&gt;Q4-1977&lt;/Name&gt;&lt;Name LocaleIsoCode="fr"&gt;T4-1977&lt;/Name&gt;&lt;/Member&gt;&lt;Member Code="1978Q1"&gt;&lt;Name LocaleIsoCode="en"&gt;Q1-1978&lt;/Name&gt;&lt;Name LocaleIsoCode="fr"&gt;T1-1978&lt;/Name&gt;&lt;/Member&gt;&lt;Member Code="1978Q2"&gt;&lt;Name LocaleIsoCode="en"&gt;Q2-1978&lt;/Name&gt;&lt;Name LocaleIsoCode="fr"&gt;T2-1978&lt;/Name&gt;&lt;/Member&gt;&lt;Member Code="1978Q3"&gt;&lt;Name LocaleIsoCode="en"&gt;Q3-1978&lt;/Name&gt;&lt;Name LocaleIsoCode="fr"&gt;T3-1978&lt;/Name&gt;&lt;/Member&gt;&lt;Member Code="1978Q4"&gt;&lt;Name LocaleIsoCode="en"&gt;Q4-1978&lt;/Name&gt;&lt;Name LocaleIsoCode="fr"&gt;T4-1978&lt;/Name&gt;&lt;/Member&gt;&lt;Member Code="1979Q1"&gt;&lt;Name LocaleIsoCode="en"&gt;Q1-1979&lt;/Name&gt;&lt;Name LocaleIsoCode="fr"&gt;T1-1979&lt;/Name&gt;&lt;/Member&gt;&lt;Member Code="1979Q2"&gt;&lt;Name LocaleIsoCode="en"&gt;Q2-1979&lt;/Name&gt;&lt;Name LocaleIsoCode="fr"&gt;T2-1979&lt;/Name&gt;&lt;/Member&gt;&lt;Member Code="1979Q3"&gt;&lt;Name LocaleIsoCode="en"&gt;Q3-1979&lt;/Name&gt;&lt;Name LocaleIsoCode="fr"&gt;T3-1979&lt;/Name&gt;&lt;/Member&gt;&lt;Member Code="1979Q4"&gt;&lt;Name LocaleIsoCode="en"&gt;Q4-1979&lt;/Name&gt;&lt;Name LocaleIsoCode="fr"&gt;T4-1979&lt;/Name&gt;&lt;/Member&gt;&lt;Member Code="1980Q1"&gt;&lt;Name LocaleIsoCode="en"&gt;Q1-1980&lt;/Name&gt;&lt;Name LocaleIsoCode="fr"&gt;T1-1980&lt;/Name&gt;&lt;/Member&gt;&lt;Member Code="1980Q2"&gt;&lt;Name LocaleIsoCode="en"&gt;Q2-1980&lt;/Name&gt;&lt;Name LocaleIsoCode="fr"&gt;T2-1980&lt;/Name&gt;&lt;/Member&gt;&lt;Member Code="1980Q3"&gt;&lt;Name LocaleIsoCode="en"&gt;Q3-1980&lt;/Name&gt;&lt;Name LocaleIsoCode="fr"&gt;T3-1980&lt;/Name&gt;&lt;/Member&gt;&lt;Member Code="1980Q4"&gt;&lt;Name LocaleIsoCode="en"&gt;Q4-1980&lt;/Name&gt;&lt;Name LocaleIsoCode="fr"&gt;T4-1980&lt;/Name&gt;&lt;/Member&gt;&lt;Member Code="1981Q1"&gt;&lt;Name LocaleIsoCode="en"&gt;Q1-1981&lt;/Name&gt;&lt;Name LocaleIsoCode="fr"&gt;T1-1981&lt;/Name&gt;&lt;/Member&gt;&lt;Member Code="1981Q2"&gt;&lt;Name LocaleIsoCode="en"&gt;Q2-1981&lt;/Name&gt;&lt;Name LocaleIsoCode="fr"&gt;T2-1981&lt;/Name&gt;&lt;/Member&gt;&lt;Member Code="1981Q3"&gt;&lt;Name LocaleIsoCode="en"&gt;Q3-1981&lt;/Name&gt;&lt;Name LocaleIsoCode="fr"&gt;T3-1981&lt;/Name&gt;&lt;/Member&gt;&lt;Member Code="1981Q4"&gt;&lt;Name LocaleIsoCode="en"&gt;Q4-1981&lt;/Name&gt;&lt;Name LocaleIsoCode="fr"&gt;T4-1981&lt;/Name&gt;&lt;/Member&gt;&lt;Member Code="1982Q1"&gt;&lt;Name LocaleIsoCode="en"&gt;Q1-1982&lt;/Name&gt;&lt;Name LocaleIsoCode="fr"&gt;T1-1982&lt;/Name&gt;&lt;/Member&gt;&lt;Member Code="1982Q2"&gt;&lt;Name LocaleIsoCode="en"&gt;Q2-1982&lt;/Name&gt;&lt;Name LocaleIsoCode="fr"&gt;T2-1982&lt;/Name&gt;&lt;/Member&gt;&lt;Member Code="1982Q3"&gt;&lt;Name LocaleIsoCode="en"&gt;Q3-1982&lt;/Name&gt;&lt;Name LocaleIsoCode="fr"&gt;T3-1982&lt;/Name&gt;&lt;/Member&gt;&lt;Member Code="1982Q4"&gt;&lt;Name LocaleIsoCode="en"&gt;Q4-1982&lt;/Name&gt;&lt;Name LocaleIsoCode="fr"&gt;T4-1982&lt;/Name&gt;&lt;/Member&gt;&lt;Member Code="1983Q1"&gt;&lt;Name LocaleIsoCode="en"&gt;Q1-1983&lt;/Name&gt;&lt;Name LocaleIsoCode="fr"&gt;T1-1983&lt;/Name&gt;&lt;/Member&gt;&lt;Member Code="1983Q2"&gt;&lt;Name LocaleIsoCode="en"&gt;Q2-1983&lt;/Name&gt;&lt;Name LocaleIsoCode="fr"&gt;T2-1983&lt;/Name&gt;&lt;/Member&gt;&lt;Member Code="1983Q3"&gt;&lt;Name LocaleIsoCode="en"&gt;Q3-1983&lt;/Name&gt;&lt;Name LocaleIsoCode="fr"&gt;T3-1983&lt;/Name&gt;&lt;/Member&gt;&lt;Member Code="1983Q4"&gt;&lt;Name LocaleIsoCode="en"&gt;Q4-1983&lt;/Name&gt;&lt;Name LocaleIsoCode="fr"&gt;T4-1983&lt;/Name&gt;&lt;/Member&gt;&lt;Member Code="1984Q1"&gt;&lt;Name LocaleIsoCode="en"&gt;Q1-1984&lt;/Name&gt;&lt;Name LocaleIsoCode="fr"&gt;T1-1984&lt;/Name&gt;&lt;/Member&gt;&lt;Member Code="1984Q2"&gt;&lt;Name LocaleIsoCode="en"&gt;Q2-1984&lt;/Name&gt;&lt;Name LocaleIsoCode="fr"&gt;T2-1984&lt;/Name&gt;&lt;/Member&gt;&lt;Member Code="1984Q3"&gt;&lt;Name LocaleIsoCode="en"&gt;Q3-1984&lt;/Name&gt;&lt;Name LocaleIsoCode="fr"&gt;T3-1984&lt;/Name&gt;&lt;/Member&gt;&lt;Member Code="1984Q4"&gt;&lt;Name LocaleIsoCode="en"&gt;Q4-1984&lt;/Name&gt;&lt;Name LocaleIsoCode="fr"&gt;T4-1984&lt;/Name&gt;&lt;/Member&gt;&lt;Member Code="1985Q1"&gt;&lt;Name LocaleIsoCode="en"&gt;Q1-1985&lt;/Name&gt;&lt;Name LocaleIsoCode="fr"&gt;T1-1985&lt;/Name&gt;&lt;/Member&gt;&lt;Member Code="1985Q2"&gt;&lt;Name LocaleIsoCode="en"&gt;Q2-1985&lt;/Name&gt;&lt;Name LocaleIsoCode="fr"&gt;T2-1985&lt;/Name&gt;&lt;/Member&gt;&lt;Member Code="1985Q3"&gt;&lt;Name LocaleIsoCode="en"&gt;Q3-1985&lt;/Name&gt;&lt;Name LocaleIsoCode="fr"&gt;T3-1985&lt;/Name&gt;&lt;/Member&gt;&lt;Member Code="1985Q4"&gt;&lt;Name LocaleIsoCode="en"&gt;Q4-1985&lt;/Name&gt;&lt;Name LocaleIsoCode="fr"&gt;T4-1985&lt;/Name&gt;&lt;/Member&gt;&lt;Member Code="1986Q1"&gt;&lt;Name LocaleIsoCode="en"&gt;Q1-1986&lt;/Name&gt;&lt;Name LocaleIsoCode="fr"&gt;T1-1986&lt;/Name&gt;&lt;/Member&gt;&lt;Member Code="1986Q2"&gt;&lt;Name LocaleIsoCode="en"&gt;Q2-1986&lt;/Name&gt;&lt;Name LocaleIsoCode="fr"&gt;T2-1986&lt;/Name&gt;&lt;/Member&gt;&lt;Member Code="1986Q3"&gt;&lt;Name LocaleIsoCode="en"&gt;Q3-1986&lt;/Name&gt;&lt;Name LocaleIsoCode="fr"&gt;T3-1986&lt;/Name&gt;&lt;/Member&gt;&lt;Member Code="1986Q4"&gt;&lt;Name LocaleIsoCode="en"&gt;Q4-1986&lt;/Name&gt;&lt;Name LocaleIsoCode="fr"&gt;T4-1986&lt;/Name&gt;&lt;/Member&gt;&lt;Member Code="1987Q1"&gt;&lt;Name LocaleIsoCode="en"&gt;Q1-1987&lt;/Name&gt;&lt;Name LocaleIsoCode="fr"&gt;T1-1987&lt;/Name&gt;&lt;/Member&gt;&lt;Member Code="1987Q2"&gt;&lt;Name LocaleIsoCode="en"&gt;Q2-1987&lt;/Name&gt;&lt;Name LocaleIsoCode="fr"&gt;T2-1987&lt;/Name&gt;&lt;/Member&gt;&lt;Member Code="1987Q3"&gt;&lt;Name LocaleIsoCode="en"&gt;Q3-1987&lt;/Name&gt;&lt;Name LocaleIsoCode="fr"&gt;T3-1987&lt;/Name&gt;&lt;/Member&gt;&lt;Member Code="1987Q4"&gt;&lt;Name LocaleIsoCode="en"&gt;Q4-1987&lt;/Name&gt;&lt;Name LocaleIsoCode="fr"&gt;T4-1987&lt;/Name&gt;&lt;/Member&gt;&lt;Member Code="1988Q1"&gt;&lt;Name LocaleIsoCode="en"&gt;Q1-1988&lt;/Name&gt;&lt;Name LocaleIsoCode="fr"&gt;T1-1988&lt;/Name&gt;&lt;/Member&gt;&lt;Member Code="1988Q2"&gt;&lt;Name LocaleIsoCode="en"&gt;Q2-1988&lt;/Name&gt;&lt;Name LocaleIsoCode="fr"&gt;T2-1988&lt;/Name&gt;&lt;/Member&gt;&lt;Member Code="1988Q3"&gt;&lt;Name LocaleIsoCode="en"&gt;Q3-1988&lt;/Name&gt;&lt;Name LocaleIsoCode="fr"&gt;T3-1988&lt;/Name&gt;&lt;/Member&gt;&lt;Member Code="1988Q4"&gt;&lt;Name LocaleIsoCode="en"&gt;Q4-1988&lt;/Name&gt;&lt;Name LocaleIsoCode="fr"&gt;T4-1988&lt;/Name&gt;&lt;/Member&gt;&lt;Member Code="1989Q1"&gt;&lt;Name LocaleIsoCode="en"&gt;Q1-1989&lt;/Name&gt;&lt;Name LocaleIsoCode="fr"&gt;T1-1989&lt;/Name&gt;&lt;/Member&gt;&lt;Member Code="1989Q2"&gt;&lt;Name LocaleIsoCode="en"&gt;Q2-1989&lt;/Name&gt;&lt;Name LocaleIsoCode="fr"&gt;T2-1989&lt;/Name&gt;&lt;/Member&gt;&lt;Member Code="1989Q3"&gt;&lt;Name LocaleIsoCode="en"&gt;Q3-1989&lt;/Name&gt;&lt;Name LocaleIsoCode="fr"&gt;T3-1989&lt;/Name&gt;&lt;/Member&gt;&lt;Member Code="1989Q4"&gt;&lt;Name LocaleIsoCode="en"&gt;Q4-1989&lt;/Name&gt;&lt;Name LocaleIsoCode="fr"&gt;T4-1989&lt;/Name&gt;&lt;/Member&gt;&lt;Member Code="1990Q1"&gt;&lt;Name LocaleIsoCode="en"&gt;Q1-1990&lt;/Name&gt;&lt;Name LocaleIsoCode="fr"&gt;T1-1990&lt;/Name&gt;&lt;/Member&gt;&lt;Member Code="1990Q2"&gt;&lt;Name LocaleIsoCode="en"&gt;Q2-1990&lt;/Name&gt;&lt;Name LocaleIsoCode="fr"&gt;T2-1990&lt;/Name&gt;&lt;/Member&gt;&lt;Member Code="1990Q3"&gt;&lt;Name LocaleIsoCode="en"&gt;Q3-1990&lt;/Name&gt;&lt;Name LocaleIsoCode="fr"&gt;T3-1990&lt;/Name&gt;&lt;/Member&gt;&lt;Member Code="1990Q4"&gt;&lt;Name LocaleIsoCode="en"&gt;Q4-1990&lt;/Name&gt;&lt;Name LocaleIsoCode="fr"&gt;T4-1990&lt;/Name&gt;&lt;/Member&gt;&lt;Member Code="1991Q1"&gt;&lt;Name LocaleIsoCode="en"&gt;Q1-1991&lt;/Name&gt;&lt;Name LocaleIsoCode="fr"&gt;T1-1991&lt;/Name&gt;&lt;/Member&gt;&lt;Member Code="1991Q2"&gt;&lt;Name LocaleIsoCode="en"&gt;Q2-1991&lt;/Name&gt;&lt;Name LocaleIsoCode="fr"&gt;T2-1991&lt;/Name&gt;&lt;/Member&gt;&lt;Member Code="1991Q3"&gt;&lt;Name LocaleIsoCode="en"&gt;Q3-1991&lt;/Name&gt;&lt;Name LocaleIsoCode="fr"&gt;T3-1991&lt;/Name&gt;&lt;/Member&gt;&lt;Member Code="1991Q4"&gt;&lt;Name LocaleIsoCode="en"&gt;Q4-1991&lt;/Name&gt;&lt;Name LocaleIsoCode="fr"&gt;T4-1991&lt;/Name&gt;&lt;/Member&gt;&lt;Member Code="1992Q1"&gt;&lt;Name LocaleIsoCode="en"&gt;Q1-1992&lt;/Name&gt;&lt;Name LocaleIsoCode="fr"&gt;T1-1992&lt;/Name&gt;&lt;/Member&gt;&lt;Member Code="1992Q2"&gt;&lt;Name LocaleIsoCode="en"&gt;Q2-1992&lt;/Name&gt;&lt;Name LocaleIsoCode="fr"&gt;T2-1992&lt;/Name&gt;&lt;/Member&gt;&lt;Member Code="1992Q3"&gt;&lt;Name LocaleIsoCode="en"&gt;Q3-1992&lt;/Name&gt;&lt;Name LocaleIsoCode="fr"&gt;T3-1992&lt;/Name&gt;&lt;/Member&gt;&lt;Member Code="1992Q4"&gt;&lt;Name LocaleIsoCode="en"&gt;Q4-1992&lt;/Name&gt;&lt;Name LocaleIsoCode="fr"&gt;T4-1992&lt;/Name&gt;&lt;/Member&gt;&lt;Member Code="1993Q1"&gt;&lt;Name LocaleIsoCode="en"&gt;Q1-1993&lt;/Name&gt;&lt;Name LocaleIsoCode="fr"&gt;T1-1993&lt;/Name&gt;&lt;/Member&gt;&lt;Member Code="1993Q2"&gt;&lt;Name LocaleIsoCode="en"&gt;Q2-1993&lt;/Name&gt;&lt;Name LocaleIsoCode="fr"&gt;T2-1993&lt;/Name&gt;&lt;/Member&gt;&lt;Member Code="1993Q3"&gt;&lt;Name LocaleIsoCode="en"&gt;Q3-1993&lt;/Name&gt;&lt;Name LocaleIsoCode="fr"&gt;T3-1993&lt;/Name&gt;&lt;/Member&gt;&lt;Member Code="1993Q4"&gt;&lt;Name LocaleIsoCode="en"&gt;Q4-1993&lt;/Name&gt;&lt;Name LocaleIsoCode="fr"&gt;T4-1993&lt;/Name&gt;&lt;/Member&gt;&lt;Member Code="1994Q1"&gt;&lt;Name LocaleIsoCode="en"&gt;Q1-1994&lt;/Name&gt;&lt;Name LocaleIsoCode="fr"&gt;T1-1994&lt;/Name&gt;&lt;/Member&gt;&lt;Member Code="1994Q2"&gt;&lt;Name LocaleIsoCode="en"&gt;Q2-1994&lt;/Name&gt;&lt;Name LocaleIsoCode="fr"&gt;T2-1994&lt;/Name&gt;&lt;/Member&gt;&lt;Member Code="1994Q3"&gt;&lt;Name LocaleIsoCode="en"&gt;Q3-1994&lt;/Name&gt;&lt;Name LocaleIsoCode="fr"&gt;T3-1994&lt;/Name&gt;&lt;/Member&gt;&lt;Member Code="1994Q4"&gt;&lt;Name LocaleIsoCode="en"&gt;Q4-1994&lt;/Name&gt;&lt;Name LocaleIsoCode="fr"&gt;T4-1994&lt;/Name&gt;&lt;/Member&gt;&lt;Member Code="1995Q1"&gt;&lt;Name LocaleIsoCode="en"&gt;Q1-1995&lt;/Name&gt;&lt;Name LocaleIsoCode="fr"&gt;T1-1995&lt;/Name&gt;&lt;/Member&gt;&lt;Member Code="1995Q2"&gt;&lt;Name LocaleIsoCode="en"&gt;Q2-1995&lt;/Name&gt;&lt;Name LocaleIsoCode="fr"&gt;T2-1995&lt;/Name&gt;&lt;/Member&gt;&lt;Member Code="1995Q3"&gt;&lt;Name LocaleIsoCode="en"&gt;Q3-1995&lt;/Name&gt;&lt;Name LocaleIsoCode="fr"&gt;T3-1995&lt;/Name&gt;&lt;/Member&gt;&lt;Member Code="1995Q4"&gt;&lt;Name LocaleIsoCode="en"&gt;Q4-1995&lt;/Name&gt;&lt;Name LocaleIsoCode="fr"&gt;T4-1995&lt;/Name&gt;&lt;/Member&gt;&lt;Member Code="1996Q1"&gt;&lt;Name LocaleIsoCode="en"&gt;Q1-1996&lt;/Name&gt;&lt;Name LocaleIsoCode="fr"&gt;T1-1996&lt;/Name&gt;&lt;/Member&gt;&lt;Member Code="1996Q2"&gt;&lt;Name LocaleIsoCode="en"&gt;Q2-1996&lt;/Name&gt;&lt;Name LocaleIsoCode="fr"&gt;T2-1996&lt;/Name&gt;&lt;/Member&gt;&lt;Member Code="1996Q3"&gt;&lt;Name LocaleIsoCode="en"&gt;Q3-1996&lt;/Name&gt;&lt;Name LocaleIsoCode="fr"&gt;T3-1996&lt;/Name&gt;&lt;/Member&gt;&lt;Member Code="1996Q4"&gt;&lt;Name LocaleIsoCode="en"&gt;Q4-1996&lt;/Name&gt;&lt;Name LocaleIsoCode="fr"&gt;T4-1996&lt;/Name&gt;&lt;/Member&gt;&lt;Member Code="1997Q1"&gt;&lt;Name LocaleIsoCode="en"&gt;Q1-1997&lt;/Name&gt;&lt;Name LocaleIsoCode="fr"&gt;T1-1997&lt;/Name&gt;&lt;/Member&gt;&lt;Member Code="1997Q2"&gt;&lt;Name LocaleIsoCode="en"&gt;Q2-1997&lt;/Name&gt;&lt;Name LocaleIsoCode="fr"&gt;T2-1997&lt;/Name&gt;&lt;/Member&gt;&lt;Member Code="1997Q3"&gt;&lt;Name LocaleIsoCode="en"&gt;Q3-1997&lt;/Name&gt;&lt;Name LocaleIsoCode="fr"&gt;T3-1997&lt;/Name&gt;&lt;/Member&gt;&lt;Member Code="1997Q4"&gt;&lt;Name LocaleIsoCode="en"&gt;Q4-1997&lt;/Name&gt;&lt;Name LocaleIsoCode="fr"&gt;T4-1997&lt;/Name&gt;&lt;/Member&gt;&lt;Member Code="1998Q1"&gt;&lt;Name LocaleIsoCode="en"&gt;Q1-1998&lt;/Name&gt;&lt;Name LocaleIsoCode="fr"&gt;T1-1998&lt;/Name&gt;&lt;/Member&gt;&lt;Member Code="1998Q2"&gt;&lt;Name LocaleIsoCode="en"&gt;Q2-1998&lt;/Name&gt;&lt;Name LocaleIsoCode="fr"&gt;T2-1998&lt;/Name&gt;&lt;/Member&gt;&lt;Member Code="1998Q3"&gt;&lt;Name LocaleIsoCode="en"&gt;Q3-1998&lt;/Name&gt;&lt;Name LocaleIsoCode="fr"&gt;T3-1998&lt;/Name&gt;&lt;/Member&gt;&lt;Member Code="1998Q4"&gt;&lt;Name LocaleIsoCode="en"&gt;Q4-1998&lt;/Name&gt;&lt;Name LocaleIsoCode="fr"&gt;T4-1998&lt;/Name&gt;&lt;/Member&gt;&lt;Member Code="1999Q1"&gt;&lt;Name LocaleIsoCode="en"&gt;Q1-1999&lt;/Name&gt;&lt;Name LocaleIsoCode="fr"&gt;T1-1999&lt;/Name&gt;&lt;/Member&gt;&lt;Member Code="1999Q2"&gt;&lt;Name LocaleIsoCode="en"&gt;Q2-1999&lt;/Name&gt;&lt;Name LocaleIsoCode="fr"&gt;T2-1999&lt;/Name&gt;&lt;/Member&gt;&lt;Member Code="1999Q3"&gt;&lt;Name LocaleIsoCode="en"&gt;Q3-1999&lt;/Name&gt;&lt;Name LocaleIsoCode="fr"&gt;T3-1999&lt;/Name&gt;&lt;/Member&gt;&lt;Member Code="1999Q4"&gt;&lt;Name LocaleIsoCode="en"&gt;Q4-1999&lt;/Name&gt;&lt;Name LocaleIsoCode="fr"&gt;T4-1999&lt;/Name&gt;&lt;/Member&gt;&lt;Member Code="2000Q1"&gt;&lt;Name LocaleIsoCode="en"&gt;Q1-2000&lt;/Name&gt;&lt;Name LocaleIsoCode="fr"&gt;T1-2000&lt;/Name&gt;&lt;/Member&gt;&lt;Member Code="2000Q2"&gt;&lt;Name LocaleIsoCode="en"&gt;Q2-2000&lt;/Name&gt;&lt;Name LocaleIsoCode="fr"&gt;T2-2000&lt;/Name&gt;&lt;/Member&gt;&lt;Member Code="2000Q3"&gt;&lt;Name LocaleIsoCode="en"&gt;Q3-2000&lt;/Name&gt;&lt;Name LocaleIsoCode="fr"&gt;T3-2000&lt;/Name&gt;&lt;/Member&gt;&lt;Member Code="2000Q4"&gt;&lt;Name LocaleIsoCode="en"&gt;Q4-2000&lt;/Name&gt;&lt;Name LocaleIsoCode="fr"&gt;T4-2000&lt;/Name&gt;&lt;/Member&gt;&lt;Member Code="2001Q1"&gt;&lt;Name LocaleIsoCode="en"&gt;Q1-2001&lt;/Name&gt;&lt;Name LocaleIsoCode="fr"&gt;T1-2001&lt;/Name&gt;&lt;/Member&gt;&lt;Member Code="2001Q2"&gt;&lt;Name LocaleIsoCode="en"&gt;Q2-2001&lt;/Name&gt;&lt;Name LocaleIsoCode="fr"&gt;T2-2001&lt;/Name&gt;&lt;/Member&gt;&lt;Member Code="2001Q3"&gt;&lt;Name LocaleIsoCode="en"&gt;Q3-2001&lt;/Name&gt;&lt;Name LocaleIsoCode="fr"&gt;T3-2001&lt;/Name&gt;&lt;/Member&gt;&lt;Member Code="2001Q4"&gt;&lt;Name LocaleIsoCode="en"&gt;Q4-2001&lt;/Name&gt;&lt;Name LocaleIsoCode="fr"&gt;T4-2001&lt;/Name&gt;&lt;/Member&gt;&lt;Member Code="2002Q1"&gt;&lt;Name LocaleIsoCode="en"&gt;Q1-2002&lt;/Name&gt;&lt;Name LocaleIsoCode="fr"&gt;T1-2002&lt;/Name&gt;&lt;/Member&gt;&lt;Member Code="2002Q2"&gt;&lt;Name LocaleIsoCode="en"&gt;Q2-2002&lt;/Name&gt;&lt;Name LocaleIsoCode="fr"&gt;T2-2002&lt;/Name&gt;&lt;/Member&gt;&lt;Member Code="2002Q3"&gt;&lt;Name LocaleIsoCode="en"&gt;Q3-2002&lt;/Name&gt;&lt;Name LocaleIsoCode="fr"&gt;T3-2002&lt;/Name&gt;&lt;/Member&gt;&lt;Member Code="2002Q4"&gt;&lt;Name LocaleIsoCode="en"&gt;Q4-2002&lt;/Name&gt;&lt;Name LocaleIsoCode="fr"&gt;T4-2002&lt;/Name&gt;&lt;/Member&gt;&lt;Member Code="2003Q1"&gt;&lt;Name LocaleIsoCode="en"&gt;Q1-2003&lt;/Name&gt;&lt;Name LocaleIsoCode="fr"&gt;T1-2003&lt;/Name&gt;&lt;/Member&gt;&lt;Member Code="2003Q2"&gt;&lt;Name LocaleIsoCode="en"&gt;Q2-2003&lt;/Name&gt;&lt;Name LocaleIsoCode="fr"&gt;T2-2003&lt;/Name&gt;&lt;/Member&gt;&lt;Member Code="2003Q3"&gt;&lt;Name LocaleIsoCode="en"&gt;Q3-2003&lt;/Name&gt;&lt;Name LocaleIsoCode="fr"&gt;T3-2003&lt;/Name&gt;&lt;/Member&gt;&lt;Member Code="2003Q4"&gt;&lt;Name LocaleIsoCode="en"&gt;Q4-2003&lt;/Name&gt;&lt;Name LocaleIsoCode="fr"&gt;T4-2003&lt;/Name&gt;&lt;/Member&gt;&lt;Member Code="2004Q1"&gt;&lt;Name LocaleIsoCode="en"&gt;Q1-2004&lt;/Name&gt;&lt;Name LocaleIsoCode="fr"&gt;T1-2004&lt;/Name&gt;&lt;/Member&gt;&lt;Member Code="2004Q2"&gt;&lt;Name LocaleIsoCode="en"&gt;Q2-2004&lt;/Name&gt;&lt;Name LocaleIsoCode="fr"&gt;T2-2004&lt;/Name&gt;&lt;/Member&gt;&lt;Member Code="2004Q3"&gt;&lt;Name LocaleIsoCode="en"&gt;Q3-2004&lt;/Name&gt;&lt;Name LocaleIsoCode="fr"&gt;T3-2004&lt;/Name&gt;&lt;/Member&gt;&lt;Member Code="2004Q4"&gt;&lt;Name LocaleIsoCode="en"&gt;Q4-2004&lt;/Name&gt;&lt;Name LocaleIsoCode="fr"&gt;T4-2004&lt;/Name&gt;&lt;/Member&gt;&lt;Member Code="2005Q1"&gt;&lt;Name LocaleIsoCode="en"&gt;Q1-2005&lt;/Name&gt;&lt;Name LocaleIsoCode="fr"&gt;T1-2005&lt;/Name&gt;&lt;/Member&gt;&lt;Member Code="2005Q2"&gt;&lt;Name LocaleIsoCode="en"&gt;Q2-2005&lt;/Name&gt;&lt;Name LocaleIsoCode="fr"&gt;T2-2005&lt;/Name&gt;&lt;/Member&gt;&lt;Member Code="2005Q3"&gt;&lt;Name LocaleIsoCode="en"&gt;Q3-2005&lt;/Name&gt;&lt;Name LocaleIsoCode="fr"&gt;T3-2005&lt;/Name&gt;&lt;/Member&gt;&lt;Member Code="2005Q4"&gt;&lt;Name LocaleIsoCode="en"&gt;Q4-2005&lt;/Name&gt;&lt;Name LocaleIsoCode="fr"&gt;T4-2005&lt;/Name&gt;&lt;/Member&gt;&lt;Member Code="2006Q1"&gt;&lt;Name LocaleIsoCode="en"&gt;Q1-2006&lt;/Name&gt;&lt;Name LocaleIsoCode="fr"&gt;T1-2006&lt;/Name&gt;&lt;/Member&gt;&lt;Member Code="2006Q2"&gt;&lt;Name LocaleIsoCode="en"&gt;Q2-2006&lt;/Name&gt;&lt;Name LocaleIsoCode="fr"&gt;T2-2006&lt;/Name&gt;&lt;/Member&gt;&lt;Member Code="2006Q3"&gt;&lt;Name LocaleIsoCode="en"&gt;Q3-2006&lt;/Name&gt;&lt;Name LocaleIsoCode="fr"&gt;T3-2006&lt;/Name&gt;&lt;/Member&gt;&lt;Member Code="2006Q4"&gt;&lt;Name LocaleIsoCode="en"&gt;Q4-2006&lt;/Name&gt;&lt;Name LocaleIsoCode="fr"&gt;T4-2006&lt;/Name&gt;&lt;/Member&gt;&lt;Member Code="2007Q1"&gt;&lt;Name LocaleIsoCode="en"&gt;Q1-2007&lt;/Name&gt;&lt;Name LocaleIsoCode="fr"&gt;T1-2007&lt;/Name&gt;&lt;/Member&gt;&lt;Member Code="2007Q2"&gt;&lt;Name LocaleIsoCode="en"&gt;Q2-2007&lt;/Name&gt;&lt;Name LocaleIsoCode="fr"&gt;T2-2007&lt;/Name&gt;&lt;/Member&gt;&lt;Member Code="2007Q3"&gt;&lt;Name LocaleIsoCode="en"&gt;Q3-2007&lt;/Name&gt;&lt;Name LocaleIsoCode="fr"&gt;T3-2007&lt;/Name&gt;&lt;/Member&gt;&lt;Member Code="2007Q4"&gt;&lt;Name LocaleIsoCode="en"&gt;Q4-2007&lt;/Name&gt;&lt;Name LocaleIsoCode="fr"&gt;T4-2007&lt;/Name&gt;&lt;/Member&gt;&lt;Member Code="2008Q1"&gt;&lt;Name LocaleIsoCode="en"&gt;Q1-2008&lt;/Name&gt;&lt;Name LocaleIsoCode="fr"&gt;T1-2008&lt;/Name&gt;&lt;/Member&gt;&lt;Member Code="2008Q2"&gt;&lt;Name LocaleIsoCode="en"&gt;Q2-2008&lt;/Name&gt;&lt;Name LocaleIsoCode="fr"&gt;T2-2008&lt;/Name&gt;&lt;/Member&gt;&lt;Member Code="2008Q3"&gt;&lt;Name LocaleIsoCode="en"&gt;Q3-2008&lt;/Name&gt;&lt;Name LocaleIsoCode="fr"&gt;T3-2008&lt;/Name&gt;&lt;/Member&gt;&lt;Member Code="2008Q4"&gt;&lt;Name LocaleIsoCode="en"&gt;Q4-2008&lt;/Name&gt;&lt;Name LocaleIsoCode="fr"&gt;T4-2008&lt;/Name&gt;&lt;/Member&gt;&lt;Member Code="2009Q1"&gt;&lt;Name LocaleIsoCode="en"&gt;Q1-2009&lt;/Name&gt;&lt;Name LocaleIsoCode="fr"&gt;T1-2009&lt;/Name&gt;&lt;/Member&gt;&lt;Member Code="2009Q2"&gt;&lt;Name LocaleIsoCode="en"&gt;Q2-2009&lt;/Name&gt;&lt;Name LocaleIsoCode="fr"&gt;T2-2009&lt;/Name&gt;&lt;/Member&gt;&lt;Member Code="2009Q3"&gt;&lt;Name LocaleIsoCode="en"&gt;Q3-2009&lt;/Name&gt;&lt;Name LocaleIsoCode="fr"&gt;T3-2009&lt;/Name&gt;&lt;/Member&gt;&lt;Member Code="2009Q4"&gt;&lt;Name LocaleIsoCode="en"&gt;Q4-2009&lt;/Name&gt;&lt;Name LocaleIsoCode="fr"&gt;T4-2009&lt;/Name&gt;&lt;/Member&gt;&lt;Member Code="2010Q1"&gt;&lt;Name LocaleIsoCode="en"&gt;Q1-2010&lt;/Name&gt;&lt;Name LocaleIsoCode="fr"&gt;T1-2010&lt;/Name&gt;&lt;/Member&gt;&lt;Member Code="2010Q2"&gt;&lt;Name LocaleIsoCode="en"&gt;Q2-2010&lt;/Name&gt;&lt;Name LocaleIsoCode="fr"&gt;T2-2010&lt;/Name&gt;&lt;/Member&gt;&lt;Member Code="2010Q3"&gt;&lt;Name LocaleIsoCode="en"&gt;Q3-2010&lt;/Name&gt;&lt;Name LocaleIsoCode="fr"&gt;T3-2010&lt;/Name&gt;&lt;/Member&gt;&lt;Member Code="2010Q4"&gt;&lt;Name LocaleIsoCode="en"&gt;Q4-2010&lt;/Name&gt;&lt;Name LocaleIsoCode="fr"&gt;T4-2010&lt;/Name&gt;&lt;/Member&gt;&lt;Member Code="2011Q1"&gt;&lt;Name LocaleIsoCode="en"&gt;Q1-2011&lt;/Name&gt;&lt;Name LocaleIsoCode="fr"&gt;T1-2011&lt;/Name&gt;&lt;/Member&gt;&lt;Member Code="2011Q2"&gt;&lt;Name LocaleIsoCode="en"&gt;Q2-2011&lt;/Name&gt;&lt;Name LocaleIsoCode="fr"&gt;T2-2011&lt;/Name&gt;&lt;/Member&gt;&lt;Member Code="2011Q3"&gt;&lt;Name LocaleIsoCode="en"&gt;Q3-2011&lt;/Name&gt;&lt;Name LocaleIsoCode="fr"&gt;T3-2011&lt;/Name&gt;&lt;/Member&gt;&lt;Member Code="2011Q4"&gt;&lt;Name LocaleIsoCode="en"&gt;Q4-2011&lt;/Name&gt;&lt;Name LocaleIsoCode="fr"&gt;T4-2011&lt;/Name&gt;&lt;/Member&gt;&lt;Member Code="2012Q1"&gt;&lt;Name LocaleIsoCode="en"&gt;Q1-2012&lt;/Name&gt;&lt;Name LocaleIsoCode="fr"&gt;T1-2012&lt;/Name&gt;&lt;/Member&gt;&lt;Member Code="2012Q2"&gt;&lt;Name LocaleIsoCode="en"&gt;Q2-2012&lt;/Name&gt;&lt;Name LocaleIsoCode="fr"&gt;T2-2012&lt;/Name&gt;&lt;/Member&gt;&lt;Member Code="2012Q3"&gt;&lt;Name LocaleIsoCode="en"&gt;Q3-2012&lt;/Name&gt;&lt;Name LocaleIsoCode="fr"&gt;T3-2012&lt;/Name&gt;&lt;/Member&gt;&lt;Member Code="2012Q4"&gt;&lt;Name LocaleIsoCode="en"&gt;Q4-2012&lt;/Name&gt;&lt;Name LocaleIsoCode="fr"&gt;T4-2012&lt;/Name&gt;&lt;/Member&gt;&lt;Member Code="2013Q1"&gt;&lt;Name LocaleIsoCode="en"&gt;Q1-2013&lt;/Name&gt;&lt;Name LocaleIsoCode="fr"&gt;T1-2013&lt;/Name&gt;&lt;/Member&gt;&lt;Member Code="2013Q2"&gt;&lt;Name LocaleIsoCode="en"&gt;Q2-2013&lt;/Name&gt;&lt;Name LocaleIsoCode="fr"&gt;T2-2013&lt;/Name&gt;&lt;/Member&gt;&lt;Member Code="2013Q3"&gt;&lt;Name LocaleIsoCode="en"&gt;Q3-2013&lt;/Name&gt;&lt;Name LocaleIsoCode="fr"&gt;T3-2013&lt;/Name&gt;&lt;/Member&gt;&lt;Member Code="2013Q4"&gt;&lt;Name LocaleIsoCode="en"&gt;Q4-2013&lt;/Name&gt;&lt;Name LocaleIsoCode="fr"&gt;T4-2013&lt;/Name&gt;&lt;/Member&gt;&lt;Member Code="2014Q1"&gt;&lt;Name LocaleIsoCode="en"&gt;Q1-2014&lt;/Name&gt;&lt;Name LocaleIsoCode="fr"&gt;T1-2014&lt;/Name&gt;&lt;/Member&gt;&lt;Member Code="2014Q2"&gt;&lt;Name LocaleIsoCode="en"&gt;Q2-2014&lt;/Name&gt;&lt;Name LocaleIsoCode="fr"&gt;T2-2014&lt;/Name&gt;&lt;/Member&gt;&lt;Member Code="2014Q3"&gt;&lt;Name LocaleIsoCode="en"&gt;Q3-2014&lt;/Name&gt;&lt;Name LocaleIsoCode="fr"&gt;T3-2014&lt;/Name&gt;&lt;/Member&gt;&lt;Member Code="2014Q4"&gt;&lt;Name LocaleIsoCode="en"&gt;Q4-2014&lt;/Name&gt;&lt;Name LocaleIsoCode="fr"&gt;T4-2014&lt;/Name&gt;&lt;/Member&gt;&lt;/Dimension&gt;&lt;WBOSInformations&gt;&lt;TimeDimension WebTreeWasUsed="false"&gt;&lt;StartCodes Quarters="1960Q1" /&gt;&lt;EndCodes Quarters="2014Q4" /&gt;&lt;/TimeDimension&gt;&lt;/WBOSInformations&gt;&lt;Tabulation Axis="horizontal"&gt;&lt;Dimension Code="VARIABLE" /&gt;&lt;Dimension xmlns="" Code="FAKEUNITDIM" /&gt;&lt;/Tabulation&gt;&lt;Tabulation Axis="vertical"&gt;&lt;Dimension Code="TIME" CommonCode="TIME" /&gt;&lt;/Tabulation&gt;&lt;Tabulation Axis="page"&gt;&lt;Dimension Code="FREQUENCY" CommonCode="FREQUENCY" /&gt;&lt;Dimension Code="LOCATION" CommonCode="LOCATION" /&gt;&lt;/Tabulation&gt;&lt;Formatting&gt;&lt;Labels LocaleIsoCode="en" /&gt;&lt;Power&gt;0&lt;/Power&gt;&lt;Decimals&gt;6&lt;/Decimals&gt;&lt;SkipEmptyLines&gt;false&lt;/SkipEmptyLines&gt;&lt;SkipEmptyCols&gt;fals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</si>
  <si>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 xml:space="preserve">Dataset: Economic Outlook No 98 - November 2015 </t>
  </si>
  <si>
    <t>Frequency</t>
  </si>
  <si>
    <t>Quarterly</t>
  </si>
  <si>
    <t>Country</t>
  </si>
  <si>
    <t>United States</t>
  </si>
  <si>
    <t>Variable</t>
  </si>
  <si>
    <t>Government final consumption expenditure, value, GDP expenditure approach</t>
  </si>
  <si>
    <t>Private final consumption expenditure, value, GDP expenditure approach</t>
  </si>
  <si>
    <t>Gross domestic product, value, market prices</t>
  </si>
  <si>
    <t>Gross fixed capital formation, total, value</t>
  </si>
  <si>
    <t>Gross capital formation, current prices</t>
  </si>
  <si>
    <t>Imports of goods and services, value, National Accounts basis</t>
  </si>
  <si>
    <t>Exports of goods and services, value, National Accounts basis</t>
  </si>
  <si>
    <t>Consumer price index</t>
  </si>
  <si>
    <t>Exports of goods and services, deflator, National Accounts basis</t>
  </si>
  <si>
    <t>Gross total fixed capital formation, deflator</t>
  </si>
  <si>
    <t>Gross capital formation, deflator</t>
  </si>
  <si>
    <t>Imports of goods and services,deflator, National Accounts basis</t>
  </si>
  <si>
    <t>Gross domestic product, deflator, market prices</t>
  </si>
  <si>
    <t>Private final consumption expenditure, deflator</t>
  </si>
  <si>
    <t>Government final consumption expenditure, deflator</t>
  </si>
  <si>
    <t>Total employment</t>
  </si>
  <si>
    <t>Hours worked per employee, total economy</t>
  </si>
  <si>
    <t>Unit</t>
  </si>
  <si>
    <t>US Dollar</t>
  </si>
  <si>
    <t>Index, 2009</t>
  </si>
  <si>
    <t>Persons</t>
  </si>
  <si>
    <t>Hours</t>
  </si>
  <si>
    <t>check</t>
  </si>
  <si>
    <t>Time</t>
  </si>
  <si>
    <t/>
  </si>
  <si>
    <t>i</t>
  </si>
  <si>
    <t>Q1-1960</t>
  </si>
  <si>
    <t>Q2-1960</t>
  </si>
  <si>
    <t>Q3-1960</t>
  </si>
  <si>
    <t>Q4-1960</t>
  </si>
  <si>
    <t>Q1-1961</t>
  </si>
  <si>
    <t>Q2-1961</t>
  </si>
  <si>
    <t>Q3-1961</t>
  </si>
  <si>
    <t>Q4-1961</t>
  </si>
  <si>
    <t>Q1-1962</t>
  </si>
  <si>
    <t>Q2-1962</t>
  </si>
  <si>
    <t>Q3-1962</t>
  </si>
  <si>
    <t>Q4-1962</t>
  </si>
  <si>
    <t>Q1-1963</t>
  </si>
  <si>
    <t>Q2-1963</t>
  </si>
  <si>
    <t>Q3-1963</t>
  </si>
  <si>
    <t>Q4-1963</t>
  </si>
  <si>
    <t>Q1-1964</t>
  </si>
  <si>
    <t>Q2-1964</t>
  </si>
  <si>
    <t>Q3-1964</t>
  </si>
  <si>
    <t>Q4-1964</t>
  </si>
  <si>
    <t>Q1-1965</t>
  </si>
  <si>
    <t>Q2-1965</t>
  </si>
  <si>
    <t>Q3-1965</t>
  </si>
  <si>
    <t>Q4-1965</t>
  </si>
  <si>
    <t>Q1-1966</t>
  </si>
  <si>
    <t>Q2-1966</t>
  </si>
  <si>
    <t>Q3-1966</t>
  </si>
  <si>
    <t>Q4-1966</t>
  </si>
  <si>
    <t>Q1-1967</t>
  </si>
  <si>
    <t>Q2-1967</t>
  </si>
  <si>
    <t>Q3-1967</t>
  </si>
  <si>
    <t>Q4-1967</t>
  </si>
  <si>
    <t>Q1-1968</t>
  </si>
  <si>
    <t>Q2-1968</t>
  </si>
  <si>
    <t>Q3-1968</t>
  </si>
  <si>
    <t>Q4-1968</t>
  </si>
  <si>
    <t>Q1-1969</t>
  </si>
  <si>
    <t>Q2-1969</t>
  </si>
  <si>
    <t>Q3-1969</t>
  </si>
  <si>
    <t>Q4-1969</t>
  </si>
  <si>
    <t>Q1-1970</t>
  </si>
  <si>
    <t>Q2-1970</t>
  </si>
  <si>
    <t>Q3-1970</t>
  </si>
  <si>
    <t>Q4-1970</t>
  </si>
  <si>
    <t>Q1-1971</t>
  </si>
  <si>
    <t>Q2-1971</t>
  </si>
  <si>
    <t>Q3-1971</t>
  </si>
  <si>
    <t>Q4-1971</t>
  </si>
  <si>
    <t>Q1-1972</t>
  </si>
  <si>
    <t>Q2-1972</t>
  </si>
  <si>
    <t>Q3-1972</t>
  </si>
  <si>
    <t>Q4-1972</t>
  </si>
  <si>
    <t>Q1-1973</t>
  </si>
  <si>
    <t>Q2-1973</t>
  </si>
  <si>
    <t>Q3-1973</t>
  </si>
  <si>
    <t>Q4-1973</t>
  </si>
  <si>
    <t>Q1-1974</t>
  </si>
  <si>
    <t>Q2-1974</t>
  </si>
  <si>
    <t>Q3-1974</t>
  </si>
  <si>
    <t>Q4-1974</t>
  </si>
  <si>
    <t>Q1-1975</t>
  </si>
  <si>
    <t>Q2-1975</t>
  </si>
  <si>
    <t>Q3-1975</t>
  </si>
  <si>
    <t>Q4-1975</t>
  </si>
  <si>
    <t>Q1-1976</t>
  </si>
  <si>
    <t>Q2-1976</t>
  </si>
  <si>
    <t>Q3-1976</t>
  </si>
  <si>
    <t>Q4-1976</t>
  </si>
  <si>
    <t>Q1-1977</t>
  </si>
  <si>
    <t>Q2-1977</t>
  </si>
  <si>
    <t>Q3-1977</t>
  </si>
  <si>
    <t>Q4-1977</t>
  </si>
  <si>
    <t>Q1-1978</t>
  </si>
  <si>
    <t>Q2-1978</t>
  </si>
  <si>
    <t>Q3-1978</t>
  </si>
  <si>
    <t>Q4-1978</t>
  </si>
  <si>
    <t>Q1-1979</t>
  </si>
  <si>
    <t>Q2-1979</t>
  </si>
  <si>
    <t>Q3-1979</t>
  </si>
  <si>
    <t>Q4-1979</t>
  </si>
  <si>
    <t>Q1-1980</t>
  </si>
  <si>
    <t>Q2-1980</t>
  </si>
  <si>
    <t>Q3-1980</t>
  </si>
  <si>
    <t>Q4-1980</t>
  </si>
  <si>
    <t>Q1-1981</t>
  </si>
  <si>
    <t>Q2-1981</t>
  </si>
  <si>
    <t>Q3-1981</t>
  </si>
  <si>
    <t>Q4-1981</t>
  </si>
  <si>
    <t>Q1-1982</t>
  </si>
  <si>
    <t>Q2-1982</t>
  </si>
  <si>
    <t>Q3-1982</t>
  </si>
  <si>
    <t>Q4-1982</t>
  </si>
  <si>
    <t>Q1-1983</t>
  </si>
  <si>
    <t>Q2-1983</t>
  </si>
  <si>
    <t>Q3-1983</t>
  </si>
  <si>
    <t>Q4-1983</t>
  </si>
  <si>
    <t>Q1-1984</t>
  </si>
  <si>
    <t>Q2-1984</t>
  </si>
  <si>
    <t>Q3-1984</t>
  </si>
  <si>
    <t>Q4-1984</t>
  </si>
  <si>
    <t>Q1-1985</t>
  </si>
  <si>
    <t>Q2-1985</t>
  </si>
  <si>
    <t>Q3-1985</t>
  </si>
  <si>
    <t>Q4-1985</t>
  </si>
  <si>
    <t>Q1-1986</t>
  </si>
  <si>
    <t>Q2-1986</t>
  </si>
  <si>
    <t>Q3-1986</t>
  </si>
  <si>
    <t>Q4-1986</t>
  </si>
  <si>
    <t>Q1-1987</t>
  </si>
  <si>
    <t>Q2-1987</t>
  </si>
  <si>
    <t>Q3-1987</t>
  </si>
  <si>
    <t>Q4-1987</t>
  </si>
  <si>
    <t>Q1-1988</t>
  </si>
  <si>
    <t>Q2-1988</t>
  </si>
  <si>
    <t>Q3-1988</t>
  </si>
  <si>
    <t>Q4-1988</t>
  </si>
  <si>
    <t>Q1-1989</t>
  </si>
  <si>
    <t>Q2-1989</t>
  </si>
  <si>
    <t>Q3-1989</t>
  </si>
  <si>
    <t>Q4-1989</t>
  </si>
  <si>
    <t>Q1-1990</t>
  </si>
  <si>
    <t>Q2-1990</t>
  </si>
  <si>
    <t>Q3-1990</t>
  </si>
  <si>
    <t>Q4-1990</t>
  </si>
  <si>
    <t>Q1-1991</t>
  </si>
  <si>
    <t>Q2-1991</t>
  </si>
  <si>
    <t>Q3-1991</t>
  </si>
  <si>
    <t>Q4-1991</t>
  </si>
  <si>
    <t>Q1-1992</t>
  </si>
  <si>
    <t>Q2-1992</t>
  </si>
  <si>
    <t>Q3-1992</t>
  </si>
  <si>
    <t>Q4-1992</t>
  </si>
  <si>
    <t>Q1-1993</t>
  </si>
  <si>
    <t>Q2-1993</t>
  </si>
  <si>
    <t>Q3-1993</t>
  </si>
  <si>
    <t>Q4-1993</t>
  </si>
  <si>
    <t>Q1-1994</t>
  </si>
  <si>
    <t>Q2-1994</t>
  </si>
  <si>
    <t>Q3-1994</t>
  </si>
  <si>
    <t>Q4-1994</t>
  </si>
  <si>
    <t>Q1-1995</t>
  </si>
  <si>
    <t>Q2-1995</t>
  </si>
  <si>
    <t>Q3-1995</t>
  </si>
  <si>
    <t>Q4-1995</t>
  </si>
  <si>
    <t>Q1-1996</t>
  </si>
  <si>
    <t>Q2-1996</t>
  </si>
  <si>
    <t>Q3-1996</t>
  </si>
  <si>
    <t>Q4-1996</t>
  </si>
  <si>
    <t>Q1-1997</t>
  </si>
  <si>
    <t>Q2-1997</t>
  </si>
  <si>
    <t>Q3-1997</t>
  </si>
  <si>
    <t>Q4-1997</t>
  </si>
  <si>
    <t>Q1-1998</t>
  </si>
  <si>
    <t>Q2-1998</t>
  </si>
  <si>
    <t>Q3-1998</t>
  </si>
  <si>
    <t>Q4-1998</t>
  </si>
  <si>
    <t>Q1-1999</t>
  </si>
  <si>
    <t>Q2-1999</t>
  </si>
  <si>
    <t>Q3-1999</t>
  </si>
  <si>
    <t>Q4-1999</t>
  </si>
  <si>
    <t>Q1-2000</t>
  </si>
  <si>
    <t>Q2-2000</t>
  </si>
  <si>
    <t>Q3-2000</t>
  </si>
  <si>
    <t>Q4-2000</t>
  </si>
  <si>
    <t>Q1-2001</t>
  </si>
  <si>
    <t>Q2-2001</t>
  </si>
  <si>
    <t>Q3-2001</t>
  </si>
  <si>
    <t>Q4-2001</t>
  </si>
  <si>
    <t>Q1-2002</t>
  </si>
  <si>
    <t>Q2-2002</t>
  </si>
  <si>
    <t>Q3-2002</t>
  </si>
  <si>
    <t>Q4-2002</t>
  </si>
  <si>
    <t>Q1-2003</t>
  </si>
  <si>
    <t>Q2-2003</t>
  </si>
  <si>
    <t>Q3-2003</t>
  </si>
  <si>
    <t>Q4-2003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</si>
  <si>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</si>
  <si>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</si>
  <si>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</si>
  <si>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</si>
  <si>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</si>
  <si>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</si>
  <si>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</si>
  <si>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</si>
  <si>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</si>
  <si>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</si>
  <si>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</si>
  <si>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</si>
  <si>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</si>
  <si>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</si>
  <si>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</si>
  <si>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</si>
  <si>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</si>
  <si>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</si>
  <si>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</si>
  <si>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</si>
  <si>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</si>
  <si>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</si>
  <si>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</si>
  <si>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</si>
  <si>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</si>
  <si>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</si>
  <si>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</si>
  <si>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</si>
  <si>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</si>
  <si>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</si>
  <si>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</si>
  <si>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</si>
  <si>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</si>
  <si>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</si>
  <si>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</si>
  <si>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</si>
  <si>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</si>
  <si>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</si>
  <si>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</si>
  <si>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</si>
  <si>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</si>
  <si>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</si>
  <si>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</si>
  <si>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</si>
  <si>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Data extracted on 15 Nov 2015 17:12 UTC (GMT) from OECD.Stat</t>
  </si>
  <si>
    <t>&lt;?xml version="1.0"?&gt;&lt;WebTableParameter xmlns:xsd="http://www.w3.org/2001/XMLSchema" xmlns:xsi="http://www.w3.org/2001/XMLSchema-instance" xmlns=""&gt;&lt;DataTable Code="ALFS_POP_LABOUR" HasMetadata="true"&gt;&lt;Name LocaleIsoCode="en"&gt;Population and Labour Force&lt;/Name&gt;&lt;Name LocaleIsoCode="fr"&gt;Population et population active&lt;/Name&gt;&lt;Dimension Code="LOCATION" CommonCode="LOCATION" Display="labels"&gt;&lt;Name LocaleIsoCode="en"&gt;Country&lt;/Name&gt;&lt;Name LocaleIsoCode="fr"&gt;Pays&lt;/Name&gt;&lt;Member Code="AUS" HasMetadata="true" HasOnlyUnitMetadata="false"&gt;&lt;Name LocaleIsoCode="en"&gt;Australia&lt;/Name&gt;&lt;Name LocaleIsoCode="fr"&gt;Australie&lt;/Name&gt;&lt;/Member&gt;&lt;Member Code="AUT" HasMetadata="true" HasOnlyUnitMetadata="false"&gt;&lt;Name LocaleIsoCode="en"&gt;Austria&lt;/Name&gt;&lt;Name LocaleIsoCode="fr"&gt;Autriche&lt;/Name&gt;&lt;/Member&gt;&lt;Member Code="BEL" HasMetadata="true" HasOnlyUnitMetadata="false"&gt;&lt;Name LocaleIsoCode="en"&gt;Belgium&lt;/Name&gt;&lt;Name LocaleIsoCode="fr"&gt;Belgique&lt;/Name&gt;&lt;/Member&gt;&lt;Member Code="CAN" HasMetadata="true" HasOnlyUnitMetadata="false"&gt;&lt;Name LocaleIsoCode="en"&gt;Canada&lt;/Name&gt;&lt;Name LocaleIsoCode="fr"&gt;Canada&lt;/Name&gt;&lt;/Member&gt;&lt;Member Code="DNK" HasMetadata="true" HasOnlyUnitMetadata="false"&gt;&lt;Name LocaleIsoCode="en"&gt;Denmark&lt;/Name&gt;&lt;Name LocaleIsoCode="fr"&gt;Danemark&lt;/Name&gt;&lt;/Member&gt;&lt;Member Code="FIN" HasMetadata="true" HasOnlyUnitMetadata="false"&gt;&lt;Name LocaleIsoCode="en"&gt;Finland&lt;/Name&gt;&lt;Name LocaleIsoCode="fr"&gt;Finlande&lt;/Name&gt;&lt;/Member&gt;&lt;Member Code="FRA" HasMetadata="true" HasOnlyUnitMetadata="false"&gt;&lt;Name LocaleIsoCode="en"&gt;France&lt;/Name&gt;&lt;Name LocaleIsoCode="fr"&gt;France&lt;/Name&gt;&lt;/Member&gt;&lt;Member Code="DEU" HasMetadata="true" HasOnlyUnitMetadata="false"&gt;&lt;Name LocaleIsoCode="en"&gt;Germany&lt;/Name&gt;&lt;Name LocaleIsoCode="fr"&gt;Allemagne&lt;/Name&gt;&lt;/Member&gt;&lt;Member Code="ISL" HasMetadata="true" HasOnlyUnitMetadata="false"&gt;&lt;Name LocaleIsoCode="en"&gt;Iceland&lt;/Name&gt;&lt;Name LocaleIsoCode="fr"&gt;Islande&lt;/Name&gt;&lt;/Member&gt;&lt;Member Code="IRL" HasMetadata="true" HasOnlyUnitMetadata="false"&gt;&lt;Name LocaleIsoCode="en"&gt;Ireland&lt;/Name&gt;&lt;Name LocaleIsoCode="fr"&gt;Irlande&lt;/Name&gt;&lt;/Member&gt;&lt;Member Code="ITA" HasMetadata="true" HasOnlyUnitMetadata="false"&gt;&lt;Name LocaleIsoCode="en"&gt;Italy&lt;/Name&gt;&lt;Name LocaleIsoCode="fr"&gt;Italie&lt;/Name&gt;&lt;/Member&gt;&lt;Member Code="JPN" HasMetadata="true" HasOnlyUnitMetadata="false"&gt;&lt;Name LocaleIsoCode="en"&gt;Japan&lt;/Name&gt;&lt;Name LocaleIsoCode="fr"&gt;Japon&lt;/Name&gt;&lt;/Member&gt;&lt;Member Code="KOR" HasMetadata="true" HasOnlyUnitMetadata="false"&gt;&lt;Name LocaleIsoCode="en"&gt;Korea&lt;/Name&gt;&lt;Name LocaleIsoCode="fr"&gt;Corée&lt;/Name&gt;&lt;/Member&gt;&lt;Member Code="LUX" HasMetadata="true" HasOnlyUnitMetadata="false"&gt;&lt;Name LocaleIsoCode="en"&gt;Luxembourg&lt;/Name&gt;&lt;Name LocaleIsoCode="fr"&gt;Luxembourg&lt;/Name&gt;&lt;/Member&gt;&lt;Member Code="NLD" HasMetadata="true" HasOnlyUnitMetadata="false"&gt;&lt;Name LocaleIsoCode="en"&gt;Netherlands&lt;/Name&gt;&lt;Name LocaleIsoCode="fr"&gt;Pays-Bas&lt;/Name&gt;&lt;/Member&gt;&lt;Member Code="NZL" HasMetadata="true" HasOnlyUnitMetadata="false"&gt;&lt;Name LocaleIsoCode="en"&gt;New Zealand&lt;/Name&gt;&lt;Name LocaleIsoCode="fr"&gt;Nouvelle-Zélande&lt;/Name&gt;&lt;/Member&gt;&lt;Member Code="NOR" HasMetadata="true" HasOnlyUnitMetadata="false"&gt;&lt;Name LocaleIsoCode="en"&gt;Norway&lt;/Name&gt;&lt;Name LocaleIsoCode="fr"&gt;Norvège&lt;/Name&gt;&lt;/Member&gt;&lt;Member Code="ESP" HasMetadata="true" HasOnlyUnitMetadata="false"&gt;&lt;Name LocaleIsoCode="en"&gt;Spain&lt;/Name&gt;&lt;Name LocaleIsoCode="fr"&gt;Espagne&lt;/Name&gt;&lt;/Member&gt;&lt;Member Code="SWE" HasMetadata="true" HasOnlyUnitMetadata="false"&gt;&lt;Name LocaleIsoCode="en"&gt;Sweden&lt;/Name&gt;&lt;Name LocaleIsoCode="fr"&gt;Suède&lt;/Name&gt;&lt;/Member&gt;&lt;Member Code="CHE" HasMetadata="true" HasOnlyUnitMetadata="false"&gt;&lt;Name LocaleIsoCode="en"&gt;Switzerland&lt;/Name&gt;&lt;Name LocaleIsoCode="fr"&gt;Suisse&lt;/Name&gt;&lt;/Member&gt;&lt;Member Code="GBR" HasMetadata="true" HasOnlyUnitMetadata="false"&gt;&lt;Name LocaleIsoCode="en"&gt;United Kingdom&lt;/Name&gt;&lt;Name LocaleIsoCode="fr"&gt;Royaume-Uni&lt;/Name&gt;&lt;/Member&gt;&lt;Member Code="USA" HasMetadata="true" HasOnlyUnitMetadata="false"&gt;&lt;Name LocaleIsoCode="en"&gt;United States&lt;/Name&gt;&lt;Name LocaleIsoCode="fr"&gt;États-Unis&lt;/Name&gt;&lt;/Member&gt;&lt;/Dimension&gt;&lt;Dimension Code="SUBJECT" Display="labels"&gt;&lt;Name LocaleIsoCode="en"&gt;Subject&lt;/Name&gt;&lt;Name LocaleIsoCode="fr"&gt;Sujet&lt;/Name&gt;&lt;Member Code="YP99TTL1_ST" HasOnlyUnitMetadata="true"&gt;&lt;Name LocaleIsoCode="en"&gt;Population&lt;/Name&gt;&lt;Name LocaleIsoCode="fr"&gt;Population&lt;/Name&gt;&lt;/Member&gt;&lt;Member Code="YP99P2L1_ST" HasOnlyUnitMetadata="true"&gt;&lt;Name LocaleIsoCode="en"&gt;Population 15-64&lt;/Name&gt;&lt;Name LocaleIsoCode="fr"&gt;Population 15-64&lt;/Name&gt;&lt;/Member&gt;&lt;/Dimension&gt;&lt;Dimension Code="FAKEUNITDIM" xmlns=""&gt;&lt;Name LocaleIsoCode="en"&gt;Unit&lt;/Name&gt;&lt;Name LocaleIsoCode="fr"&gt;Unité&lt;/Name&gt;&lt;Member Code="FAKEUNITMEMBERCODE"&gt;&lt;Name LocaleIsoCode="en"&gt;Default Unit&lt;/Name&gt;&lt;Name LocaleIsoCode="fr"&gt;Unité par défaut&lt;/Name&gt;&lt;/Member&gt;&lt;/Dimension&gt;&lt;Dimension Code="SEX" Display="labels"&gt;&lt;Name LocaleIsoCode="en"&gt;Sex&lt;/Name&gt;&lt;Name LocaleIsoCode="fr"&gt;Sexe&lt;/Name&gt;&lt;Member Code="TT" HasOnlyUnitMetadata="false"&gt;&lt;Name LocaleIsoCode="en"&gt;All persons&lt;/Name&gt;&lt;Name LocaleIsoCode="fr"&gt;Ensemble des personnes&lt;/Name&gt;&lt;/Member&gt;&lt;/Dimension&gt;&lt;Dimension Code="FREQUENCY" CommonCode="FREQUENCY" Display="labels"&gt;&lt;Name LocaleIsoCode="en"&gt;Frequency&lt;/Name&gt;&lt;Name LocaleIsoCode="fr"&gt;Fréquence&lt;/Name&gt;&lt;Member Code="A"&gt;&lt;Name LocaleIsoCode="en"&gt;Annual&lt;/Name&gt;&lt;Name LocaleIsoCode="fr"&gt;Annuelle&lt;/Name&gt;&lt;/Member&gt;&lt;/Dimension&gt;&lt;Dimension Code="TIME" CommonCode="TIME" Display="labels"&gt;&lt;Name LocaleIsoCode="en"&gt;Time&lt;/Name&gt;&lt;Name LocaleIsoCode="fr"&gt;Temps&lt;/Name&gt;&lt;Member Code="1950"&gt;&lt;Name LocaleIsoCode="en"&gt;1950&lt;/Name&gt;&lt;Name LocaleIsoCode="fr"&gt;1950&lt;/Name&gt;&lt;/Member&gt;&lt;Member Code="1951"&gt;&lt;Name LocaleIsoCode="en"&gt;1951&lt;/Name&gt;&lt;Name LocaleIsoCode="fr"&gt;1951&lt;/Name&gt;&lt;/Member&gt;&lt;Member Code="1952"&gt;&lt;Name LocaleIsoCode="en"&gt;1952&lt;/Name&gt;&lt;Name LocaleIsoCode="fr"&gt;1952&lt;/Name&gt;&lt;/Member&gt;&lt;Member Code="1953"&gt;&lt;Name LocaleIsoCode="en"&gt;1953&lt;/Name&gt;&lt;Name LocaleIsoCode="fr"&gt;1953&lt;/Name&gt;&lt;/Member&gt;&lt;Member Code="1954"&gt;&lt;Name LocaleIsoCode="en"&gt;1954&lt;/Name&gt;&lt;Name LocaleIsoCode="fr"&gt;1954&lt;/Name&gt;&lt;/Member&gt;&lt;Member Code="1955"&gt;&lt;Name LocaleIsoCode="en"&gt;1955&lt;/Name&gt;&lt;Name LocaleIsoCode="fr"&gt;1955&lt;/Name&gt;&lt;/Member&gt;&lt;Member Code="1956"&gt;&lt;Name LocaleIsoCode="en"&gt;1956&lt;/Name&gt;&lt;Name LocaleIsoCode="fr"&gt;1956&lt;/Name&gt;&lt;/Member&gt;&lt;Member Code="1957"&gt;&lt;Name LocaleIsoCode="en"&gt;1957&lt;/Name&gt;&lt;Name LocaleIsoCode="fr"&gt;1957&lt;/Name&gt;&lt;/Member&gt;&lt;Member Code="1958"&gt;&lt;Name LocaleIsoCode="en"&gt;1958&lt;/Name&gt;&lt;Name LocaleIsoCode="fr"&gt;1958&lt;/Name&gt;&lt;/Member&gt;&lt;Member Code="1959"&gt;&lt;Name LocaleIsoCode="en"&gt;1959&lt;/Name&gt;&lt;Name LocaleIsoCode="fr"&gt;1959&lt;/Name&gt;&lt;/Member&gt;&lt;Member Code="1960"&gt;&lt;Name LocaleIsoCode="en"&gt;1960&lt;/Name&gt;&lt;Name LocaleIsoCode="fr"&gt;1960&lt;/Name&gt;&lt;/Member&gt;&lt;Member Code="1961"&gt;&lt;Name LocaleIsoCode="en"&gt;1961&lt;/Name&gt;&lt;Name LocaleIsoCode="fr"&gt;1961&lt;/Name&gt;&lt;/Member&gt;&lt;Member Code="1962"&gt;&lt;Name LocaleIsoCode="en"&gt;1962&lt;/Name&gt;&lt;Name LocaleIsoCode="fr"&gt;1962&lt;/Name&gt;&lt;/Member&gt;&lt;Member Code="1963"&gt;&lt;Name LocaleIsoCode="en"&gt;1963&lt;/Name&gt;&lt;Name LocaleIsoCode="fr"&gt;1963&lt;/Name&gt;&lt;/Member&gt;&lt;Member Code="1964"&gt;&lt;Name LocaleIsoCode="en"&gt;1964&lt;/Name&gt;&lt;Name LocaleIsoCode="fr"&gt;1964&lt;/Name&gt;&lt;/Member&gt;&lt;Member Code="1965"&gt;&lt;Name LocaleIsoCode="en"&gt;1965&lt;/Name&gt;&lt;Name LocaleIsoCode="fr"&gt;1965&lt;/Name&gt;&lt;/Member&gt;&lt;Member Code="1966"&gt;&lt;Name LocaleIsoCode="en"&gt;1966&lt;/Name&gt;&lt;Name LocaleIsoCode="fr"&gt;1966&lt;/Name&gt;&lt;/Member&gt;&lt;Member Code="1967"&gt;&lt;Name LocaleIsoCode="en"&gt;1967&lt;/Name&gt;&lt;Name LocaleIsoCode="fr"&gt;1967&lt;/Name&gt;&lt;/Member&gt;&lt;Member Code="1968"&gt;&lt;Name LocaleIsoCode="en"&gt;1968&lt;/Name&gt;&lt;Name LocaleIsoCode="fr"&gt;1968&lt;/Name&gt;&lt;/Member&gt;&lt;Member Code="1969"&gt;&lt;Name LocaleIsoCode="en"&gt;1969&lt;/Name&gt;&lt;Name LocaleIsoCode="fr"&gt;1969&lt;/Name&gt;&lt;/Member&gt;&lt;Member Code="1970"&gt;&lt;Name LocaleIsoCode="en"&gt;1970&lt;/Name&gt;&lt;Name LocaleIsoCode="fr"&gt;1970&lt;/Name&gt;&lt;/Member&gt;&lt;Member Code="1971"&gt;&lt;Name LocaleIsoCode="en"&gt;1971&lt;/Name&gt;&lt;Name LocaleIsoCode="fr"&gt;1971&lt;/Name&gt;&lt;/Member&gt;&lt;Member Code="1972"&gt;&lt;Name LocaleIsoCode="en"&gt;1972&lt;/Name&gt;&lt;Name LocaleIsoCode="fr"&gt;1972&lt;/Name&gt;&lt;/Member&gt;&lt;Member Code="1973"&gt;&lt;Name LocaleIsoCode="en"&gt;1973&lt;/Name&gt;&lt;Name LocaleIsoCode="fr"&gt;1973&lt;/Name&gt;&lt;/Member&gt;&lt;Member Code="1974"&gt;&lt;Name LocaleIsoCode="en"&gt;1974&lt;/Name&gt;&lt;Name LocaleIsoCode="fr"&gt;1974&lt;/Name&gt;&lt;/Member&gt;&lt;Member Code="1975"&gt;&lt;Name LocaleIsoCode="en"&gt;1975&lt;/Name&gt;&lt;Name LocaleIsoCode="fr"&gt;1975&lt;/Name&gt;&lt;/Member&gt;&lt;Member Code="1976"&gt;&lt;Name LocaleIsoCode="en"&gt;1976&lt;/Name&gt;&lt;Name LocaleIsoCode="fr"&gt;1976&lt;/Name&gt;&lt;/Member&gt;&lt;Member Code="1977"&gt;&lt;Name LocaleIsoCode="en"&gt;1977&lt;/Name&gt;&lt;Name LocaleIsoCode="fr"&gt;1977&lt;/Name&gt;&lt;/Member&gt;&lt;Member Code="1978"&gt;&lt;Name LocaleIsoCode="en"&gt;1978&lt;/Name&gt;&lt;Name LocaleIsoCode="fr"&gt;1978&lt;/Name&gt;&lt;/Member&gt;&lt;Member Code="1979"&gt;&lt;Name LocaleIsoCode="en"&gt;1979&lt;/Name&gt;&lt;Name LocaleIsoCode="fr"&gt;1979&lt;/Name&gt;&lt;/Member&gt;&lt;Member Code="1980"&gt;&lt;Name LocaleIsoCode="en"&gt;1980&lt;/Name&gt;&lt;Name LocaleIsoCode="fr"&gt;1980&lt;/Name&gt;&lt;/Member&gt;&lt;Member Code="1981"&gt;&lt;Name LocaleIsoCode="en"&gt;1981&lt;/Name&gt;&lt;Name LocaleIsoCode="fr"&gt;1981&lt;/Name&gt;&lt;/Member&gt;&lt;Member Code="1982"&gt;&lt;Name LocaleIsoCode="en"&gt;1982&lt;/Name&gt;&lt;Name LocaleIsoCode="fr"&gt;1982&lt;/Name&gt;&lt;/Member&gt;&lt;Member Code="1983"&gt;&lt;Name LocaleIsoCode="en"&gt;1983&lt;/Name&gt;&lt;Name LocaleIsoCode="fr"&gt;1983&lt;/Name&gt;&lt;/Member&gt;&lt;Member Code="1984"&gt;&lt;Name LocaleIsoCode="en"&gt;1984&lt;/Name&gt;&lt;Name LocaleIsoCode="fr"&gt;1984&lt;/Name&gt;&lt;/Member&gt;&lt;Member Code="1985"&gt;&lt;Name LocaleIsoCode="en"&gt;1985&lt;/Name&gt;&lt;Name LocaleIsoCode="fr"&gt;1985&lt;/Name&gt;&lt;/Member&gt;&lt;Member Code="1986"&gt;&lt;Name LocaleIsoCode="en"&gt;1986&lt;/Name&gt;&lt;Name LocaleIsoCode="fr"&gt;1986&lt;/Name&gt;&lt;/Member&gt;&lt;Member Code="1987"&gt;&lt;Name LocaleIsoCode="en"&gt;1987&lt;/Name&gt;&lt;Name LocaleIsoCode="fr"&gt;1987&lt;/Name&gt;&lt;/Member&gt;&lt;Member Code="1988"&gt;&lt;Name LocaleIsoCode="en"&gt;1988&lt;/Name&gt;&lt;Name LocaleIsoCode="fr"&gt;1988&lt;/Name&gt;&lt;/Member&gt;&lt;Member Code="1989"&gt;&lt;Name LocaleIsoCode="en"&gt;1989&lt;/Name&gt;&lt;Name LocaleIsoCode="fr"&gt;1989&lt;/Name&gt;&lt;/Member&gt;&lt;Member Code="1990"&gt;&lt;Name LocaleIsoCode="en"&gt;1990&lt;/Name&gt;&lt;Name LocaleIsoCode="fr"&gt;1990&lt;/Name&gt;&lt;/Member&gt;&lt;Member Code="1991"&gt;&lt;Name LocaleIsoCode="en"&gt;1991&lt;/Name&gt;&lt;Name LocaleIsoCode="fr"&gt;1991&lt;/Name&gt;&lt;/Member&gt;&lt;Member Code="1992"&gt;&lt;Name LocaleIsoCode="en"&gt;1992&lt;/Name&gt;&lt;Name LocaleIsoCode="fr"&gt;1992&lt;/Name&gt;&lt;/Member&gt;&lt;Member Code="1993"&gt;&lt;Name LocaleIsoCode="en"&gt;1993&lt;/Name&gt;&lt;Name LocaleIsoCode="fr"&gt;1993&lt;/Name&gt;&lt;/Member&gt;&lt;Member Code="1994"&gt;&lt;Name LocaleIsoCode="en"&gt;1994&lt;/Name&gt;&lt;Name LocaleIsoCode="fr"&gt;1994&lt;/Name&gt;&lt;/Member&gt;&lt;Member Code="1995"&gt;&lt;Name LocaleIsoCode="en"&gt;1995&lt;/Name&gt;&lt;Name LocaleIsoCode="fr"&gt;1995&lt;/Name&gt;&lt;/Member&gt;&lt;Member Code="1996"&gt;&lt;Name LocaleIsoCode="en"&gt;1996&lt;/Name&gt;&lt;Name LocaleIsoCode="fr"&gt;1996&lt;/Name&gt;&lt;/Member&gt;&lt;Member Code="1997"&gt;&lt;Name LocaleIsoCode="en"&gt;1997&lt;/Name&gt;&lt;Name LocaleIsoCode="fr"&gt;1997&lt;/Name&gt;&lt;/Member&gt;&lt;Member Code="1998"&gt;&lt;Name LocaleIsoCode="en"&gt;1998&lt;/Name&gt;&lt;Name LocaleIsoCode="fr"&gt;1998&lt;/Name&gt;&lt;/Member&gt;&lt;Member Code="1999"&gt;&lt;Name LocaleIsoCode="en"&gt;1999&lt;/Name&gt;&lt;Name LocaleIsoCode="fr"&gt;1999&lt;/Name&gt;&lt;/Member&gt;&lt;Member Code="2000"&gt;&lt;Name LocaleIsoCode="en"&gt;2000&lt;/Name&gt;&lt;Name LocaleIsoCode="fr"&gt;2000&lt;/Name&gt;&lt;/Member&gt;&lt;Member Code="2001"&gt;&lt;Name LocaleIsoCode="en"&gt;2001&lt;/Name&gt;&lt;Name LocaleIsoCode="fr"&gt;2001&lt;/Name&gt;&lt;/Member&gt;&lt;Member Code="2002"&gt;&lt;Name LocaleIsoCode="en"&gt;2002&lt;/Name&gt;&lt;Name LocaleIsoCode="fr"&gt;2002&lt;/Name&gt;&lt;/Member&gt;&lt;Member Code="2003"&gt;&lt;Name LocaleIsoCode="en"&gt;2003&lt;/Name&gt;&lt;Name LocaleIsoCode="fr"&gt;2003&lt;/Name&gt;&lt;/Member&gt;&lt;Member Code="2004"&gt;&lt;Name LocaleIsoCode="en"&gt;2004&lt;/Name&gt;&lt;Name LocaleIsoCode="fr"&gt;2004&lt;/Name&gt;&lt;/Member&gt;&lt;Member Code="2005"&gt;&lt;Name LocaleIsoCode="en"&gt;2005&lt;/Name&gt;&lt;Name LocaleIsoCode="fr"&gt;2005&lt;/Name&gt;&lt;/Member&gt;&lt;Member Code="2006"&gt;&lt;Name LocaleIsoCode="en"&gt;2006&lt;/Name&gt;&lt;Name LocaleIsoCode="fr"&gt;2006&lt;/Name&gt;&lt;/Member&gt;&lt;Member Code="2007"&gt;&lt;Name LocaleIsoCode="en"&gt;2007&lt;/Name&gt;&lt;Name LocaleIsoCode="fr"&gt;2007&lt;/Name&gt;&lt;/Member&gt;&lt;Member Code="2008"&gt;&lt;Name LocaleIsoCode="en"&gt;2008&lt;/Name&gt;&lt;Name LocaleIsoCode="fr"&gt;2008&lt;/Name&gt;&lt;/Member&gt;&lt;Member Code="2009"&gt;&lt;Name LocaleIsoCode="en"&gt;2009&lt;/Name&gt;&lt;Name LocaleIsoCode="fr"&gt;2009&lt;/Name&gt;&lt;/Member&gt;&lt;Member Code="2010"&gt;&lt;Name LocaleIsoCode="en"&gt;2010&lt;/Name&gt;&lt;Name LocaleIsoCode="fr"&gt;2010&lt;/Name&gt;&lt;/Member&gt;&lt;Member Code="2011"&gt;&lt;Name LocaleIsoCode="en"&gt;2011&lt;/Name&gt;&lt;Name LocaleIsoCode="fr"&gt;2011&lt;/Name&gt;&lt;/Member&gt;&lt;Member Code="2012"&gt;&lt;Name LocaleIsoCode="en"&gt;2012&lt;/Name&gt;&lt;Name LocaleIsoCode="fr"&gt;2012&lt;/Name&gt;&lt;/Member&gt;&lt;Member Code="2013"&gt;&lt;Name LocaleIsoCode="en"&gt;2013&lt;/Name&gt;&lt;Name LocaleIsoCode="fr"&gt;2013&lt;/Name&gt;&lt;/Member&gt;&lt;Member Code="2014"&gt;&lt;Name LocaleIsoCode="en"&gt;2014&lt;/Name&gt;&lt;Name LocaleIsoCode="fr"&gt;2014&lt;/Name&gt;&lt;/Member&gt;&lt;/Dimension&gt;&lt;WBOSInformations&gt;&lt;TimeDimension WebTreeWasUsed="false"&gt;&lt;StartCodes Annual="1950" /&gt;&lt;EndCodes Annual="2014" /&gt;&lt;/TimeDimension&gt;&lt;/WBOSInformations&gt;&lt;Tabulation Axis="horizontal"&gt;&lt;Dimension Code="LOCATION" CommonCode="LOCATION" /&gt;&lt;Dimension Code="SUBJECT" /&gt;&lt;Dimension xmlns="" Code="FAKEUNITDIM" /&gt;&lt;/Tabulation&gt;&lt;Tabulation Axis="vertical"&gt;&lt;Dimension Code="TIME" CommonCode="TIME" /&gt;&lt;/Tabulation&gt;&lt;Tabulation Axis="page"&gt;&lt;Dimension Code="SEX" /&gt;&lt;Dimension Code="FREQUENCY" CommonCode="FREQUENCY" /&gt;&lt;/Tabulation&gt;&lt;Formatting&gt;&lt;Labels LocaleIsoCode="en" /&gt;&lt;Power&gt;0&lt;/Power&gt;&lt;Decimals&gt;-1&lt;/Decimals&gt;&lt;SkipEmptyLines&gt;false&lt;/SkipEmptyLines&gt;&lt;SkipEmptyCols&gt;fals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</si>
  <si>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Dataset: Population and Labour Force</t>
  </si>
  <si>
    <t>Sex</t>
  </si>
  <si>
    <t>Subject</t>
  </si>
  <si>
    <t>Population</t>
  </si>
  <si>
    <t>Population 15-64</t>
  </si>
  <si>
    <t>Persons, thousands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</si>
  <si>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</si>
  <si>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</si>
  <si>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</si>
  <si>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</si>
  <si>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</si>
  <si>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</si>
  <si>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</si>
  <si>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</si>
  <si>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</si>
  <si>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</si>
  <si>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</si>
  <si>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</si>
  <si>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</si>
  <si>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</si>
  <si>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</si>
  <si>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</si>
  <si>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</si>
  <si>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</si>
  <si>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</si>
  <si>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</si>
  <si>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</si>
  <si>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</si>
  <si>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</si>
  <si>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</si>
  <si>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</si>
  <si>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</si>
  <si>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</si>
  <si>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</si>
  <si>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</si>
  <si>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</si>
  <si>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</si>
  <si>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</si>
  <si>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</si>
  <si>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</si>
  <si>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</si>
  <si>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</si>
  <si>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</si>
  <si>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</si>
  <si>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</si>
  <si>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</si>
  <si>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</si>
  <si>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</si>
  <si>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</si>
  <si>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</si>
  <si>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</si>
  <si>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</si>
  <si>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</si>
  <si>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</si>
  <si>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</si>
  <si>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</si>
  <si>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</si>
  <si>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</si>
  <si>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</si>
  <si>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</si>
  <si>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</si>
  <si>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</si>
  <si>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</si>
  <si>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</si>
  <si>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</si>
  <si>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</si>
  <si>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</si>
  <si>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</si>
  <si>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</si>
  <si>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</si>
  <si>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</si>
  <si>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Data extracted on 18 Nov 2015 15:24 UTC (GMT) from OECD.Stat</t>
  </si>
  <si>
    <t>Legend:</t>
  </si>
  <si>
    <t>B:</t>
  </si>
  <si>
    <t>Break</t>
  </si>
  <si>
    <t xml:space="preserve">All persons </t>
    <phoneticPr fontId="2" type="noConversion"/>
  </si>
  <si>
    <t>Annual</t>
    <phoneticPr fontId="2" type="noConversion"/>
  </si>
  <si>
    <t>Durable goods</t>
  </si>
  <si>
    <t>US Dollar, billions</t>
  </si>
  <si>
    <t>USA</t>
  </si>
  <si>
    <t>TAXGOODSERV</t>
  </si>
  <si>
    <t>TOT</t>
  </si>
  <si>
    <t>PC_GDP</t>
  </si>
  <si>
    <t>A</t>
  </si>
  <si>
    <t>Country</t>
    <phoneticPr fontId="2" type="noConversion"/>
  </si>
  <si>
    <t>year</t>
    <phoneticPr fontId="2" type="noConversion"/>
  </si>
  <si>
    <t>tauc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</si>
</sst>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8"/>
      <name val="Arial"/>
      <family val="2"/>
    </font>
    <font>
      <sz val="9"/>
      <name val="等线"/>
      <family val="2"/>
      <charset val="134"/>
      <scheme val="minor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u/>
      <sz val="8"/>
      <color indexed="9"/>
      <name val="Verdana"/>
      <family val="2"/>
    </font>
    <font>
      <sz val="9"/>
      <color indexed="8"/>
      <name val="Tahoma"/>
      <family val="2"/>
    </font>
    <font>
      <sz val="12"/>
      <color rgb="FF000000"/>
      <name val="等线"/>
      <family val="4"/>
      <charset val="134"/>
      <scheme val="minor"/>
    </font>
    <font>
      <sz val="8"/>
      <color rgb="FFFFFFFF"/>
      <name val="Verdan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00A1E3"/>
        <bgColor rgb="FF000000"/>
      </patternFill>
    </fill>
    <fill>
      <patternFill patternType="solid">
        <fgColor rgb="FFF0F8FF"/>
        <bgColor rgb="FF000000"/>
      </patternFill>
    </fill>
  </fills>
  <borders count="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0" xfId="0" applyAlignment="1"/>
    <xf numFmtId="0" fontId="3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2" borderId="2" xfId="0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10" fillId="3" borderId="2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center" vertical="top" wrapText="1"/>
    </xf>
    <xf numFmtId="0" fontId="12" fillId="0" borderId="0" xfId="0" applyFont="1" applyAlignment="1"/>
    <xf numFmtId="0" fontId="13" fillId="7" borderId="6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right"/>
    </xf>
    <xf numFmtId="0" fontId="1" fillId="8" borderId="6" xfId="0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oecd.org/OECDStat_Metadata/ShowMetadata.ashx?Dataset=EO98_INTERNET&amp;Coords=%5bFREQUENCY%5d.%5bQ%5d,%5bLOCATION%5d.%5bUSA%5d,%5bVARIABLE%5d.%5bXGS%5d&amp;ShowOnWeb=true" TargetMode="External"/><Relationship Id="rId13" Type="http://schemas.openxmlformats.org/officeDocument/2006/relationships/hyperlink" Target="http://stats.oecd.org/OECDStat_Metadata/ShowMetadata.ashx?Dataset=EO98_INTERNET&amp;Coords=%5bFREQUENCY%5d.%5bQ%5d,%5bLOCATION%5d.%5bUSA%5d,%5bVARIABLE%5d.%5bPMGS%5d&amp;ShowOnWeb=true" TargetMode="External"/><Relationship Id="rId18" Type="http://schemas.openxmlformats.org/officeDocument/2006/relationships/hyperlink" Target="http://stats.oecd.org/OECDStat_Metadata/ShowMetadata.ashx?Dataset=EO98_INTERNET&amp;Coords=%5bFREQUENCY%5d.%5bQ%5d,%5bLOCATION%5d.%5bUSA%5d,%5bVARIABLE%5d.%5bHRS%5d&amp;ShowOnWeb=true" TargetMode="External"/><Relationship Id="rId3" Type="http://schemas.openxmlformats.org/officeDocument/2006/relationships/hyperlink" Target="http://stats.oecd.org/OECDStat_Metadata/ShowMetadata.ashx?Dataset=EO98_INTERNET&amp;Coords=%5bFREQUENCY%5d.%5bQ%5d,%5bLOCATION%5d.%5bUSA%5d,%5bVARIABLE%5d.%5bCP%5d&amp;ShowOnWeb=true" TargetMode="External"/><Relationship Id="rId21" Type="http://schemas.openxmlformats.org/officeDocument/2006/relationships/hyperlink" Target="http://localhost/OECDStat_Metadata/ShowMetadata.ashx?Dataset=ALFS_POP_LABOUR&amp;Coords=%5bSEX%5d.%5bTT%5d,%5bFREQUENCY%5d.%5bA%5d,%5bSUBJECT%5d.%5bYP99TTL1_ST%5d,%5bLOCATION%5d.%5bUSA%5d&amp;ShowOnWeb=true" TargetMode="External"/><Relationship Id="rId7" Type="http://schemas.openxmlformats.org/officeDocument/2006/relationships/hyperlink" Target="http://stats.oecd.org/OECDStat_Metadata/ShowMetadata.ashx?Dataset=EO98_INTERNET&amp;Coords=%5bFREQUENCY%5d.%5bQ%5d,%5bLOCATION%5d.%5bUSA%5d,%5bVARIABLE%5d.%5bMGS%5d&amp;ShowOnWeb=true" TargetMode="External"/><Relationship Id="rId12" Type="http://schemas.openxmlformats.org/officeDocument/2006/relationships/hyperlink" Target="http://stats.oecd.org/OECDStat_Metadata/ShowMetadata.ashx?Dataset=EO98_INTERNET&amp;Coords=%5bFREQUENCY%5d.%5bQ%5d,%5bLOCATION%5d.%5bUSA%5d,%5bVARIABLE%5d.%5bPITISK%5d&amp;ShowOnWeb=true" TargetMode="External"/><Relationship Id="rId17" Type="http://schemas.openxmlformats.org/officeDocument/2006/relationships/hyperlink" Target="http://stats.oecd.org/OECDStat_Metadata/ShowMetadata.ashx?Dataset=EO98_INTERNET&amp;Coords=%5bFREQUENCY%5d.%5bQ%5d,%5bLOCATION%5d.%5bUSA%5d,%5bVARIABLE%5d.%5bET%5d&amp;ShowOnWeb=true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://stats.oecd.org/OECDStat_Metadata/ShowMetadata.ashx?Dataset=EO98_INTERNET&amp;Coords=%5bFREQUENCY%5d.%5bQ%5d,%5bLOCATION%5d.%5bUSA%5d,%5bVARIABLE%5d.%5bCG%5d&amp;ShowOnWeb=true" TargetMode="External"/><Relationship Id="rId16" Type="http://schemas.openxmlformats.org/officeDocument/2006/relationships/hyperlink" Target="http://stats.oecd.org/OECDStat_Metadata/ShowMetadata.ashx?Dataset=EO98_INTERNET&amp;Coords=%5bFREQUENCY%5d.%5bQ%5d,%5bLOCATION%5d.%5bUSA%5d,%5bVARIABLE%5d.%5bPCG%5d&amp;ShowOnWeb=true" TargetMode="External"/><Relationship Id="rId20" Type="http://schemas.openxmlformats.org/officeDocument/2006/relationships/hyperlink" Target="http://localhost/OECDStat_Metadata/ShowMetadata.ashx?Dataset=ALFS_POP_LABOUR&amp;Coords=%5bLOCATION%5d.%5bUSA%5d&amp;ShowOnWeb=true&amp;Lang=en" TargetMode="External"/><Relationship Id="rId1" Type="http://schemas.openxmlformats.org/officeDocument/2006/relationships/hyperlink" Target="http://stats.oecd.org/OECDStat_Metadata/ShowMetadata.ashx?Dataset=EO98_INTERNET&amp;ShowOnWeb=true&amp;Lang=en" TargetMode="External"/><Relationship Id="rId6" Type="http://schemas.openxmlformats.org/officeDocument/2006/relationships/hyperlink" Target="http://stats.oecd.org/OECDStat_Metadata/ShowMetadata.ashx?Dataset=EO98_INTERNET&amp;Coords=%5bFREQUENCY%5d.%5bQ%5d,%5bLOCATION%5d.%5bUSA%5d,%5bVARIABLE%5d.%5bITISK%5d&amp;ShowOnWeb=true" TargetMode="External"/><Relationship Id="rId11" Type="http://schemas.openxmlformats.org/officeDocument/2006/relationships/hyperlink" Target="http://stats.oecd.org/OECDStat_Metadata/ShowMetadata.ashx?Dataset=EO98_INTERNET&amp;Coords=%5bFREQUENCY%5d.%5bQ%5d,%5bLOCATION%5d.%5bUSA%5d,%5bVARIABLE%5d.%5bPIT%5d&amp;ShowOnWeb=true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://stats.oecd.org/OECDStat_Metadata/ShowMetadata.ashx?Dataset=EO98_INTERNET&amp;Coords=%5bFREQUENCY%5d.%5bQ%5d,%5bLOCATION%5d.%5bUSA%5d,%5bVARIABLE%5d.%5bIT%5d&amp;ShowOnWeb=true" TargetMode="External"/><Relationship Id="rId15" Type="http://schemas.openxmlformats.org/officeDocument/2006/relationships/hyperlink" Target="http://stats.oecd.org/OECDStat_Metadata/ShowMetadata.ashx?Dataset=EO98_INTERNET&amp;Coords=%5bFREQUENCY%5d.%5bQ%5d,%5bLOCATION%5d.%5bUSA%5d,%5bVARIABLE%5d.%5bPCP%5d&amp;ShowOnWeb=true" TargetMode="External"/><Relationship Id="rId23" Type="http://schemas.openxmlformats.org/officeDocument/2006/relationships/hyperlink" Target="http://stats.oecd.org/OECDStat_Metadata/ShowMetadata.ashx?Dataset=EO98_INTERNET&amp;Coords=%5bFREQUENCY%5d.%5bQ%5d,%5bLOCATION%5d.%5bUSA%5d,%5bVARIABLE%5d.%5bHRS%5d&amp;ShowOnWeb=true" TargetMode="External"/><Relationship Id="rId10" Type="http://schemas.openxmlformats.org/officeDocument/2006/relationships/hyperlink" Target="http://stats.oecd.org/OECDStat_Metadata/ShowMetadata.ashx?Dataset=EO98_INTERNET&amp;Coords=%5bFREQUENCY%5d.%5bQ%5d,%5bLOCATION%5d.%5bUSA%5d,%5bVARIABLE%5d.%5bPXGS%5d&amp;ShowOnWeb=true" TargetMode="External"/><Relationship Id="rId19" Type="http://schemas.openxmlformats.org/officeDocument/2006/relationships/hyperlink" Target="http://stats.oecd.org/" TargetMode="External"/><Relationship Id="rId4" Type="http://schemas.openxmlformats.org/officeDocument/2006/relationships/hyperlink" Target="http://stats.oecd.org/OECDStat_Metadata/ShowMetadata.ashx?Dataset=EO98_INTERNET&amp;Coords=%5bFREQUENCY%5d.%5bQ%5d,%5bLOCATION%5d.%5bUSA%5d,%5bVARIABLE%5d.%5bGDP%5d&amp;ShowOnWeb=true" TargetMode="External"/><Relationship Id="rId9" Type="http://schemas.openxmlformats.org/officeDocument/2006/relationships/hyperlink" Target="http://stats.oecd.org/OECDStat_Metadata/ShowMetadata.ashx?Dataset=EO98_INTERNET&amp;Coords=%5bFREQUENCY%5d.%5bQ%5d,%5bLOCATION%5d.%5bUSA%5d,%5bVARIABLE%5d.%5bCPI%5d&amp;ShowOnWeb=true" TargetMode="External"/><Relationship Id="rId14" Type="http://schemas.openxmlformats.org/officeDocument/2006/relationships/hyperlink" Target="http://stats.oecd.org/OECDStat_Metadata/ShowMetadata.ashx?Dataset=EO98_INTERNET&amp;Coords=%5bFREQUENCY%5d.%5bQ%5d,%5bLOCATION%5d.%5bUSA%5d,%5bVARIABLE%5d.%5bPGDP%5d&amp;ShowOnWeb=true" TargetMode="External"/><Relationship Id="rId22" Type="http://schemas.openxmlformats.org/officeDocument/2006/relationships/hyperlink" Target="http://localhost/OECDStat_Metadata/ShowMetadata.ashx?Dataset=ALFS_POP_LABOUR&amp;Coords=%5bSEX%5d.%5bTT%5d,%5bFREQUENCY%5d.%5bA%5d,%5bSUBJECT%5d.%5bYP99P2L1_ST%5d,%5bLOCATION%5d.%5bUSA%5d&amp;ShowOnWeb=tru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OECDStat_Metadata/ShowMetadata.ashx?Dataset=ALFS_POP_LABOUR&amp;Coords=%5bSEX%5d.%5bTT%5d,%5bFREQUENCY%5d.%5bA%5d,%5bSUBJECT%5d.%5bYP99TTL1_ST%5d,%5bLOCATION%5d.%5bUSA%5d&amp;ShowOnWeb=true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://localhost/OECDStat_Metadata/ShowMetadata.ashx?Dataset=ALFS_POP_LABOUR&amp;Coords=%5bLOCATION%5d.%5bUSA%5d&amp;ShowOnWeb=true&amp;Lang=en" TargetMode="External"/><Relationship Id="rId1" Type="http://schemas.openxmlformats.org/officeDocument/2006/relationships/hyperlink" Target="http://localhost/OECDStat_Metadata/ShowMetadata.ashx?Dataset=ALFS_POP_LABOUR&amp;ShowOnWeb=true&amp;Lang=en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://stats.oecd.org/" TargetMode="External"/><Relationship Id="rId4" Type="http://schemas.openxmlformats.org/officeDocument/2006/relationships/hyperlink" Target="http://localhost/OECDStat_Metadata/ShowMetadata.ashx?Dataset=ALFS_POP_LABOUR&amp;Coords=%5bSEX%5d.%5bTT%5d,%5bFREQUENCY%5d.%5bA%5d,%5bSUBJECT%5d.%5bYP99P2L1_ST%5d,%5bLOCATION%5d.%5bUSA%5d&amp;ShowOnWeb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C84A-6355-EB46-BA99-D4BB3E960B14}">
  <dimension ref="A1:W232"/>
  <sheetViews>
    <sheetView tabSelected="1" topLeftCell="D2" workbookViewId="0">
      <selection activeCell="A204" sqref="A204:XFD204"/>
    </sheetView>
  </sheetViews>
  <sheetFormatPr baseColWidth="10" defaultColWidth="8.83203125" defaultRowHeight="16"/>
  <cols>
    <col min="1" max="1" width="27.5" style="2" customWidth="1"/>
    <col min="2" max="2" width="2.5" style="2" customWidth="1"/>
    <col min="3" max="5" width="10.5" style="2" bestFit="1" customWidth="1"/>
    <col min="6" max="7" width="9.5" style="2" bestFit="1" customWidth="1"/>
    <col min="8" max="9" width="10.5" style="2" bestFit="1" customWidth="1"/>
    <col min="10" max="19" width="9.33203125" style="2" bestFit="1" customWidth="1"/>
    <col min="20" max="16384" width="8.83203125" style="2"/>
  </cols>
  <sheetData>
    <row r="1" spans="1:23" ht="16" hidden="1" customHeight="1">
      <c r="A1" s="1" t="e">
        <f ca="1">DotStatQuery(B1)</f>
        <v>#NAME?</v>
      </c>
      <c r="B1" s="1" t="s">
        <v>0</v>
      </c>
      <c r="U1" s="23"/>
    </row>
    <row r="2" spans="1:23" ht="27">
      <c r="A2" s="3" t="s">
        <v>1</v>
      </c>
    </row>
    <row r="3" spans="1:23" ht="15" customHeight="1">
      <c r="A3" s="14" t="s">
        <v>2</v>
      </c>
      <c r="B3" s="15"/>
      <c r="C3" s="16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</row>
    <row r="4" spans="1:23">
      <c r="A4" s="14" t="s">
        <v>4</v>
      </c>
      <c r="B4" s="15"/>
      <c r="C4" s="16" t="s">
        <v>5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pans="1:23" ht="84">
      <c r="A5" s="19" t="s">
        <v>6</v>
      </c>
      <c r="B5" s="20"/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4" t="s">
        <v>23</v>
      </c>
      <c r="U5" s="24" t="s">
        <v>332</v>
      </c>
      <c r="V5" s="21" t="s">
        <v>5</v>
      </c>
      <c r="W5" s="22"/>
    </row>
    <row r="6" spans="1:23" ht="24">
      <c r="A6" s="19" t="s">
        <v>24</v>
      </c>
      <c r="B6" s="20"/>
      <c r="C6" s="4" t="s">
        <v>25</v>
      </c>
      <c r="D6" s="4" t="s">
        <v>25</v>
      </c>
      <c r="E6" s="4" t="s">
        <v>25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27</v>
      </c>
      <c r="S6" s="4" t="s">
        <v>28</v>
      </c>
      <c r="T6" s="5" t="s">
        <v>29</v>
      </c>
      <c r="U6" s="24" t="s">
        <v>333</v>
      </c>
      <c r="V6" s="4" t="s">
        <v>258</v>
      </c>
      <c r="W6" s="4" t="s">
        <v>259</v>
      </c>
    </row>
    <row r="7" spans="1:23" ht="24">
      <c r="A7" s="6" t="s">
        <v>30</v>
      </c>
      <c r="B7" s="7" t="s">
        <v>31</v>
      </c>
      <c r="C7" s="7" t="s">
        <v>32</v>
      </c>
      <c r="D7" s="7" t="s">
        <v>32</v>
      </c>
      <c r="E7" s="7" t="s">
        <v>32</v>
      </c>
      <c r="F7" s="7" t="s">
        <v>32</v>
      </c>
      <c r="G7" s="7" t="s">
        <v>32</v>
      </c>
      <c r="H7" s="7" t="s">
        <v>32</v>
      </c>
      <c r="I7" s="7" t="s">
        <v>32</v>
      </c>
      <c r="J7" s="7" t="s">
        <v>32</v>
      </c>
      <c r="K7" s="7" t="s">
        <v>32</v>
      </c>
      <c r="L7" s="7" t="s">
        <v>32</v>
      </c>
      <c r="M7" s="7" t="s">
        <v>32</v>
      </c>
      <c r="N7" s="7" t="s">
        <v>32</v>
      </c>
      <c r="O7" s="7" t="s">
        <v>32</v>
      </c>
      <c r="P7" s="7" t="s">
        <v>32</v>
      </c>
      <c r="Q7" s="7" t="s">
        <v>32</v>
      </c>
      <c r="R7" s="7" t="s">
        <v>32</v>
      </c>
      <c r="S7" s="7" t="s">
        <v>32</v>
      </c>
      <c r="U7" s="7" t="s">
        <v>32</v>
      </c>
      <c r="V7" s="4" t="s">
        <v>260</v>
      </c>
      <c r="W7" s="4" t="s">
        <v>260</v>
      </c>
    </row>
    <row r="8" spans="1:23">
      <c r="A8" s="8" t="s">
        <v>33</v>
      </c>
      <c r="B8" s="7" t="s">
        <v>31</v>
      </c>
      <c r="C8" s="9">
        <v>82300000000</v>
      </c>
      <c r="D8" s="9">
        <v>326700000000</v>
      </c>
      <c r="E8" s="9">
        <v>543300000000</v>
      </c>
      <c r="F8" s="9">
        <v>120400000000</v>
      </c>
      <c r="G8" s="9">
        <v>131600000000</v>
      </c>
      <c r="H8" s="9">
        <v>23300000000</v>
      </c>
      <c r="I8" s="9">
        <v>26000000000</v>
      </c>
      <c r="J8" s="9">
        <v>0.137006092957213</v>
      </c>
      <c r="K8" s="9">
        <v>0.25717111770524198</v>
      </c>
      <c r="L8" s="9">
        <v>0.215802844979712</v>
      </c>
      <c r="M8" s="9">
        <v>0.27259116559262397</v>
      </c>
      <c r="N8" s="9">
        <v>0.185805422647528</v>
      </c>
      <c r="O8" s="9">
        <v>0.17395619877049201</v>
      </c>
      <c r="P8" s="9">
        <v>0.17411927730107099</v>
      </c>
      <c r="Q8" s="9">
        <v>0.101545759871251</v>
      </c>
      <c r="R8" s="9">
        <v>65213333.333333299</v>
      </c>
      <c r="S8" s="9">
        <v>1953.44964704278</v>
      </c>
      <c r="T8" s="2">
        <f>E8-(C8+D8+G8+I8-H8)</f>
        <v>0</v>
      </c>
      <c r="U8" s="25">
        <v>11.375</v>
      </c>
      <c r="V8" s="7" t="s">
        <v>32</v>
      </c>
      <c r="W8" s="7" t="s">
        <v>32</v>
      </c>
    </row>
    <row r="9" spans="1:23">
      <c r="A9" s="8" t="s">
        <v>34</v>
      </c>
      <c r="B9" s="7" t="s">
        <v>31</v>
      </c>
      <c r="C9" s="10">
        <v>83700000000</v>
      </c>
      <c r="D9" s="10">
        <v>332600000000</v>
      </c>
      <c r="E9" s="10">
        <v>542700000000</v>
      </c>
      <c r="F9" s="10">
        <v>119100000000</v>
      </c>
      <c r="G9" s="10">
        <v>122300000000</v>
      </c>
      <c r="H9" s="10">
        <v>23500000000</v>
      </c>
      <c r="I9" s="10">
        <v>27600000000</v>
      </c>
      <c r="J9" s="10">
        <v>0.137829465553508</v>
      </c>
      <c r="K9" s="10">
        <v>0.256744186046512</v>
      </c>
      <c r="L9" s="10">
        <v>0.21706163046701901</v>
      </c>
      <c r="M9" s="10">
        <v>0.28527139887647901</v>
      </c>
      <c r="N9" s="10">
        <v>0.186064924782264</v>
      </c>
      <c r="O9" s="10">
        <v>0.17442869540063599</v>
      </c>
      <c r="P9" s="10">
        <v>0.17504341876743301</v>
      </c>
      <c r="Q9" s="10">
        <v>0.101965848213607</v>
      </c>
      <c r="R9" s="10">
        <v>66061333.333333299</v>
      </c>
      <c r="S9" s="10">
        <v>1950.2930144720699</v>
      </c>
      <c r="T9" s="2">
        <f t="shared" ref="T9:T72" si="0">E9-(C9+D9+G9+I9-H9)</f>
        <v>0</v>
      </c>
      <c r="U9" s="26">
        <v>11.6</v>
      </c>
      <c r="V9" s="9">
        <v>152271.4</v>
      </c>
      <c r="W9" s="9">
        <v>98877.09</v>
      </c>
    </row>
    <row r="10" spans="1:23">
      <c r="A10" s="8" t="s">
        <v>35</v>
      </c>
      <c r="B10" s="7" t="s">
        <v>31</v>
      </c>
      <c r="C10" s="9">
        <v>86100000000</v>
      </c>
      <c r="D10" s="9">
        <v>332500000000</v>
      </c>
      <c r="E10" s="9">
        <v>546000000000</v>
      </c>
      <c r="F10" s="9">
        <v>118900000000</v>
      </c>
      <c r="G10" s="9">
        <v>123300000000</v>
      </c>
      <c r="H10" s="9">
        <v>22900000000</v>
      </c>
      <c r="I10" s="9">
        <v>27000000000</v>
      </c>
      <c r="J10" s="9">
        <v>0.137907142213536</v>
      </c>
      <c r="K10" s="9">
        <v>0.25763358778626</v>
      </c>
      <c r="L10" s="9">
        <v>0.21818127034534299</v>
      </c>
      <c r="M10" s="9">
        <v>0.28685645463892301</v>
      </c>
      <c r="N10" s="9">
        <v>0.18678629690048901</v>
      </c>
      <c r="O10" s="9">
        <v>0.17505049533519301</v>
      </c>
      <c r="P10" s="9">
        <v>0.175693527080581</v>
      </c>
      <c r="Q10" s="9">
        <v>0.103213037764753</v>
      </c>
      <c r="R10" s="9">
        <v>66023666.666666701</v>
      </c>
      <c r="S10" s="9">
        <v>1946.1926306161899</v>
      </c>
      <c r="T10" s="2">
        <f t="shared" si="0"/>
        <v>0</v>
      </c>
      <c r="U10" s="25">
        <v>11.475</v>
      </c>
      <c r="V10" s="10">
        <v>154877.9</v>
      </c>
      <c r="W10" s="10">
        <v>99574.27</v>
      </c>
    </row>
    <row r="11" spans="1:23">
      <c r="A11" s="8" t="s">
        <v>36</v>
      </c>
      <c r="B11" s="7" t="s">
        <v>31</v>
      </c>
      <c r="C11" s="10">
        <v>88000000000</v>
      </c>
      <c r="D11" s="10">
        <v>334500000000</v>
      </c>
      <c r="E11" s="10">
        <v>541100000000</v>
      </c>
      <c r="F11" s="10">
        <v>118700000000</v>
      </c>
      <c r="G11" s="10">
        <v>112800000000</v>
      </c>
      <c r="H11" s="10">
        <v>21700000000</v>
      </c>
      <c r="I11" s="10">
        <v>27500000000</v>
      </c>
      <c r="J11" s="10">
        <v>0.13879265613785399</v>
      </c>
      <c r="K11" s="10">
        <v>0.25724976613657602</v>
      </c>
      <c r="L11" s="10">
        <v>0.21865426807549901</v>
      </c>
      <c r="M11" s="10">
        <v>0.30464911363320402</v>
      </c>
      <c r="N11" s="10">
        <v>0.18578767123287701</v>
      </c>
      <c r="O11" s="10">
        <v>0.175607698049525</v>
      </c>
      <c r="P11" s="10">
        <v>0.17652646577655801</v>
      </c>
      <c r="Q11" s="10">
        <v>0.104395735304536</v>
      </c>
      <c r="R11" s="10">
        <v>65839666.666666701</v>
      </c>
      <c r="S11" s="10">
        <v>1942.0647078689601</v>
      </c>
      <c r="T11" s="2">
        <f t="shared" si="0"/>
        <v>0</v>
      </c>
      <c r="U11" s="26">
        <v>11.175000000000001</v>
      </c>
      <c r="V11" s="9">
        <v>157552.70000000001</v>
      </c>
      <c r="W11" s="9">
        <v>100264</v>
      </c>
    </row>
    <row r="12" spans="1:23">
      <c r="A12" s="8" t="s">
        <v>37</v>
      </c>
      <c r="B12" s="7" t="s">
        <v>31</v>
      </c>
      <c r="C12" s="9">
        <v>87200000000</v>
      </c>
      <c r="D12" s="9">
        <v>335000000000</v>
      </c>
      <c r="E12" s="9">
        <v>545900000000</v>
      </c>
      <c r="F12" s="9">
        <v>120600000000</v>
      </c>
      <c r="G12" s="9">
        <v>117900000000</v>
      </c>
      <c r="H12" s="9">
        <v>21700000000</v>
      </c>
      <c r="I12" s="9">
        <v>27500000000</v>
      </c>
      <c r="J12" s="9">
        <v>0.139072292113955</v>
      </c>
      <c r="K12" s="9">
        <v>0.25894538606403</v>
      </c>
      <c r="L12" s="9">
        <v>0.218848944044927</v>
      </c>
      <c r="M12" s="9">
        <v>0.29238260641982</v>
      </c>
      <c r="N12" s="9">
        <v>0.1865864144454</v>
      </c>
      <c r="O12" s="9">
        <v>0.17596621861199799</v>
      </c>
      <c r="P12" s="9">
        <v>0.17683699324324301</v>
      </c>
      <c r="Q12" s="9">
        <v>0.104659823296262</v>
      </c>
      <c r="R12" s="9">
        <v>65738000</v>
      </c>
      <c r="S12" s="9">
        <v>1937.08917985991</v>
      </c>
      <c r="T12" s="2">
        <f t="shared" si="0"/>
        <v>0</v>
      </c>
      <c r="U12" s="25">
        <v>10.55</v>
      </c>
      <c r="V12" s="10">
        <v>160184.20000000001</v>
      </c>
      <c r="W12" s="10">
        <v>100925.4</v>
      </c>
    </row>
    <row r="13" spans="1:23">
      <c r="A13" s="8" t="s">
        <v>38</v>
      </c>
      <c r="B13" s="7" t="s">
        <v>31</v>
      </c>
      <c r="C13" s="10">
        <v>89400000000</v>
      </c>
      <c r="D13" s="10">
        <v>339900000000</v>
      </c>
      <c r="E13" s="10">
        <v>557400000000</v>
      </c>
      <c r="F13" s="10">
        <v>120800000000</v>
      </c>
      <c r="G13" s="10">
        <v>122600000000</v>
      </c>
      <c r="H13" s="10">
        <v>21900000000</v>
      </c>
      <c r="I13" s="10">
        <v>27400000000</v>
      </c>
      <c r="J13" s="10">
        <v>0.139025686117938</v>
      </c>
      <c r="K13" s="10">
        <v>0.261700095510984</v>
      </c>
      <c r="L13" s="10">
        <v>0.22008331064147901</v>
      </c>
      <c r="M13" s="10">
        <v>0.29251363085613902</v>
      </c>
      <c r="N13" s="10">
        <v>0.18606627017842001</v>
      </c>
      <c r="O13" s="10">
        <v>0.17639798727807801</v>
      </c>
      <c r="P13" s="10">
        <v>0.176791844377406</v>
      </c>
      <c r="Q13" s="10">
        <v>0.105137633706947</v>
      </c>
      <c r="R13" s="10">
        <v>65605333.333333299</v>
      </c>
      <c r="S13" s="10">
        <v>1935.53399156619</v>
      </c>
      <c r="T13" s="2">
        <f t="shared" si="0"/>
        <v>0</v>
      </c>
      <c r="U13" s="26">
        <v>10.824999999999999</v>
      </c>
      <c r="V13" s="9">
        <v>163025.9</v>
      </c>
      <c r="W13" s="9">
        <v>101670.2</v>
      </c>
    </row>
    <row r="14" spans="1:23">
      <c r="A14" s="8" t="s">
        <v>39</v>
      </c>
      <c r="B14" s="7" t="s">
        <v>31</v>
      </c>
      <c r="C14" s="9">
        <v>90800000000</v>
      </c>
      <c r="D14" s="9">
        <v>342800000000</v>
      </c>
      <c r="E14" s="9">
        <v>568200000000</v>
      </c>
      <c r="F14" s="9">
        <v>124100000000</v>
      </c>
      <c r="G14" s="9">
        <v>130700000000</v>
      </c>
      <c r="H14" s="9">
        <v>23300000000</v>
      </c>
      <c r="I14" s="9">
        <v>27200000000</v>
      </c>
      <c r="J14" s="9">
        <v>0.139569422738133</v>
      </c>
      <c r="K14" s="9">
        <v>0.261036468330134</v>
      </c>
      <c r="L14" s="9">
        <v>0.21982695015870499</v>
      </c>
      <c r="M14" s="9">
        <v>0.28296922719095402</v>
      </c>
      <c r="N14" s="9">
        <v>0.18565737051792799</v>
      </c>
      <c r="O14" s="9">
        <v>0.17686608977152499</v>
      </c>
      <c r="P14" s="9">
        <v>0.177432712215321</v>
      </c>
      <c r="Q14" s="9">
        <v>0.10544593046174</v>
      </c>
      <c r="R14" s="9">
        <v>65667000</v>
      </c>
      <c r="S14" s="9">
        <v>1936.18756736107</v>
      </c>
      <c r="T14" s="2">
        <f t="shared" si="0"/>
        <v>0</v>
      </c>
      <c r="U14" s="25">
        <v>11.15</v>
      </c>
      <c r="V14" s="10">
        <v>165931.20000000001</v>
      </c>
      <c r="W14" s="10">
        <v>102452.7</v>
      </c>
    </row>
    <row r="15" spans="1:23">
      <c r="A15" s="8" t="s">
        <v>40</v>
      </c>
      <c r="B15" s="7" t="s">
        <v>31</v>
      </c>
      <c r="C15" s="10">
        <v>92500000000</v>
      </c>
      <c r="D15" s="10">
        <v>350100000000</v>
      </c>
      <c r="E15" s="10">
        <v>581600000000</v>
      </c>
      <c r="F15" s="10">
        <v>128600000000</v>
      </c>
      <c r="G15" s="10">
        <v>134600000000</v>
      </c>
      <c r="H15" s="10">
        <v>23900000000</v>
      </c>
      <c r="I15" s="10">
        <v>28300000000</v>
      </c>
      <c r="J15" s="10">
        <v>0.139771382054206</v>
      </c>
      <c r="K15" s="10">
        <v>0.26350093109869599</v>
      </c>
      <c r="L15" s="10">
        <v>0.21975979538760401</v>
      </c>
      <c r="M15" s="10">
        <v>0.28251189141482302</v>
      </c>
      <c r="N15" s="10">
        <v>0.18613707165109</v>
      </c>
      <c r="O15" s="10">
        <v>0.17744149861183101</v>
      </c>
      <c r="P15" s="10">
        <v>0.17765261074745001</v>
      </c>
      <c r="Q15" s="10">
        <v>0.105918018909069</v>
      </c>
      <c r="R15" s="10">
        <v>65966666.666666701</v>
      </c>
      <c r="S15" s="10">
        <v>1939.1892612128299</v>
      </c>
      <c r="T15" s="2">
        <f t="shared" si="0"/>
        <v>0</v>
      </c>
      <c r="U15" s="26">
        <v>11.675000000000001</v>
      </c>
      <c r="V15" s="9">
        <v>168903</v>
      </c>
      <c r="W15" s="9">
        <v>103392.3</v>
      </c>
    </row>
    <row r="16" spans="1:23">
      <c r="A16" s="8" t="s">
        <v>41</v>
      </c>
      <c r="B16" s="7" t="s">
        <v>31</v>
      </c>
      <c r="C16" s="9">
        <v>95800000000</v>
      </c>
      <c r="D16" s="9">
        <v>355400000000</v>
      </c>
      <c r="E16" s="9">
        <v>595200000000</v>
      </c>
      <c r="F16" s="9">
        <v>130600000000</v>
      </c>
      <c r="G16" s="9">
        <v>140000000000</v>
      </c>
      <c r="H16" s="9">
        <v>24300000000</v>
      </c>
      <c r="I16" s="9">
        <v>28300000000</v>
      </c>
      <c r="J16" s="9">
        <v>0.140315118674401</v>
      </c>
      <c r="K16" s="9">
        <v>0.26423902894491103</v>
      </c>
      <c r="L16" s="9">
        <v>0.21937447655054401</v>
      </c>
      <c r="M16" s="9">
        <v>0.27954561848308801</v>
      </c>
      <c r="N16" s="9">
        <v>0.183534743202417</v>
      </c>
      <c r="O16" s="9">
        <v>0.17837449052984899</v>
      </c>
      <c r="P16" s="9">
        <v>0.17844052819199699</v>
      </c>
      <c r="Q16" s="9">
        <v>0.107344066198791</v>
      </c>
      <c r="R16" s="9">
        <v>66379666.666666701</v>
      </c>
      <c r="S16" s="9">
        <v>1945.9546013289</v>
      </c>
      <c r="T16" s="2">
        <f t="shared" si="0"/>
        <v>0</v>
      </c>
      <c r="U16" s="25">
        <v>11.925000000000001</v>
      </c>
      <c r="V16" s="10">
        <v>171984.1</v>
      </c>
      <c r="W16" s="10">
        <v>104432.8</v>
      </c>
    </row>
    <row r="17" spans="1:23">
      <c r="A17" s="8" t="s">
        <v>42</v>
      </c>
      <c r="B17" s="7" t="s">
        <v>31</v>
      </c>
      <c r="C17" s="10">
        <v>97100000000</v>
      </c>
      <c r="D17" s="10">
        <v>361000000000</v>
      </c>
      <c r="E17" s="10">
        <v>602600000000</v>
      </c>
      <c r="F17" s="10">
        <v>133200000000</v>
      </c>
      <c r="G17" s="10">
        <v>138700000000</v>
      </c>
      <c r="H17" s="10">
        <v>24900000000</v>
      </c>
      <c r="I17" s="10">
        <v>30700000000</v>
      </c>
      <c r="J17" s="10">
        <v>0.140843319962591</v>
      </c>
      <c r="K17" s="10">
        <v>0.26149914821124398</v>
      </c>
      <c r="L17" s="10">
        <v>0.22009477272345301</v>
      </c>
      <c r="M17" s="10">
        <v>0.28143189891551901</v>
      </c>
      <c r="N17" s="10">
        <v>0.18417159763313601</v>
      </c>
      <c r="O17" s="10">
        <v>0.178669908382008</v>
      </c>
      <c r="P17" s="10">
        <v>0.17905857844352999</v>
      </c>
      <c r="Q17" s="10">
        <v>0.10740330455083801</v>
      </c>
      <c r="R17" s="10">
        <v>66576666.666666701</v>
      </c>
      <c r="S17" s="10">
        <v>1952.1401230085501</v>
      </c>
      <c r="T17" s="2">
        <f t="shared" si="0"/>
        <v>0</v>
      </c>
      <c r="U17" s="26">
        <v>12.25</v>
      </c>
      <c r="V17" s="9">
        <v>174881.9</v>
      </c>
      <c r="W17" s="9">
        <v>105702.39999999999</v>
      </c>
    </row>
    <row r="18" spans="1:23">
      <c r="A18" s="8" t="s">
        <v>43</v>
      </c>
      <c r="B18" s="7" t="s">
        <v>31</v>
      </c>
      <c r="C18" s="9">
        <v>99600000000</v>
      </c>
      <c r="D18" s="9">
        <v>364900000000</v>
      </c>
      <c r="E18" s="9">
        <v>609600000000</v>
      </c>
      <c r="F18" s="9">
        <v>135100000000</v>
      </c>
      <c r="G18" s="9">
        <v>141200000000</v>
      </c>
      <c r="H18" s="9">
        <v>25100000000</v>
      </c>
      <c r="I18" s="9">
        <v>29000000000</v>
      </c>
      <c r="J18" s="9">
        <v>0.14124723859473601</v>
      </c>
      <c r="K18" s="9">
        <v>0.26173285198556001</v>
      </c>
      <c r="L18" s="9">
        <v>0.22031831732630899</v>
      </c>
      <c r="M18" s="9">
        <v>0.28370552019080397</v>
      </c>
      <c r="N18" s="9">
        <v>0.183211678832117</v>
      </c>
      <c r="O18" s="9">
        <v>0.179041353383459</v>
      </c>
      <c r="P18" s="9">
        <v>0.179532595325953</v>
      </c>
      <c r="Q18" s="9">
        <v>0.107847215691426</v>
      </c>
      <c r="R18" s="9">
        <v>66881000</v>
      </c>
      <c r="S18" s="9">
        <v>1958.3745102026901</v>
      </c>
      <c r="T18" s="2">
        <f t="shared" si="0"/>
        <v>0</v>
      </c>
      <c r="U18" s="25">
        <v>12.4</v>
      </c>
      <c r="V18" s="10">
        <v>177829.6</v>
      </c>
      <c r="W18" s="10">
        <v>106842.5</v>
      </c>
    </row>
    <row r="19" spans="1:23">
      <c r="A19" s="8" t="s">
        <v>44</v>
      </c>
      <c r="B19" s="7" t="s">
        <v>31</v>
      </c>
      <c r="C19" s="10">
        <v>100700000000</v>
      </c>
      <c r="D19" s="10">
        <v>371100000000</v>
      </c>
      <c r="E19" s="10">
        <v>613100000000</v>
      </c>
      <c r="F19" s="10">
        <v>135100000000</v>
      </c>
      <c r="G19" s="10">
        <v>138500000000</v>
      </c>
      <c r="H19" s="10">
        <v>25600000000</v>
      </c>
      <c r="I19" s="10">
        <v>28400000000</v>
      </c>
      <c r="J19" s="10">
        <v>0.141589015898859</v>
      </c>
      <c r="K19" s="10">
        <v>0.26199261992619899</v>
      </c>
      <c r="L19" s="10">
        <v>0.22167394560165701</v>
      </c>
      <c r="M19" s="10">
        <v>0.28813552974463402</v>
      </c>
      <c r="N19" s="10">
        <v>0.18470418470418501</v>
      </c>
      <c r="O19" s="10">
        <v>0.179373902867174</v>
      </c>
      <c r="P19" s="10">
        <v>0.18003201862902099</v>
      </c>
      <c r="Q19" s="10">
        <v>0.108492595059285</v>
      </c>
      <c r="R19" s="10">
        <v>66969333.333333299</v>
      </c>
      <c r="S19" s="10">
        <v>1963.53076545985</v>
      </c>
      <c r="T19" s="2">
        <f t="shared" si="0"/>
        <v>0</v>
      </c>
      <c r="U19" s="26">
        <v>12.875</v>
      </c>
      <c r="V19" s="9">
        <v>180671.2</v>
      </c>
      <c r="W19" s="9">
        <v>107919.4</v>
      </c>
    </row>
    <row r="20" spans="1:23">
      <c r="A20" s="8" t="s">
        <v>45</v>
      </c>
      <c r="B20" s="7" t="s">
        <v>31</v>
      </c>
      <c r="C20" s="9">
        <v>101100000000</v>
      </c>
      <c r="D20" s="9">
        <v>374700000000</v>
      </c>
      <c r="E20" s="9">
        <v>622700000000</v>
      </c>
      <c r="F20" s="9">
        <v>136000000000</v>
      </c>
      <c r="G20" s="9">
        <v>143000000000</v>
      </c>
      <c r="H20" s="9">
        <v>25200000000</v>
      </c>
      <c r="I20" s="9">
        <v>29100000000</v>
      </c>
      <c r="J20" s="9">
        <v>0.142039540527021</v>
      </c>
      <c r="K20" s="9">
        <v>0.26216216216216198</v>
      </c>
      <c r="L20" s="9">
        <v>0.22254788089118899</v>
      </c>
      <c r="M20" s="9">
        <v>0.28517509924731099</v>
      </c>
      <c r="N20" s="9">
        <v>0.18611521418020699</v>
      </c>
      <c r="O20" s="9">
        <v>0.180174184774746</v>
      </c>
      <c r="P20" s="9">
        <v>0.18056090979182701</v>
      </c>
      <c r="Q20" s="9">
        <v>0.109090593122008</v>
      </c>
      <c r="R20" s="9">
        <v>67149000</v>
      </c>
      <c r="S20" s="9">
        <v>1967.1007383971901</v>
      </c>
      <c r="T20" s="2">
        <f t="shared" si="0"/>
        <v>0</v>
      </c>
      <c r="U20" s="25">
        <v>13.15</v>
      </c>
      <c r="V20" s="10">
        <v>183691.5</v>
      </c>
      <c r="W20" s="10">
        <v>109048.6</v>
      </c>
    </row>
    <row r="21" spans="1:23">
      <c r="A21" s="8" t="s">
        <v>46</v>
      </c>
      <c r="B21" s="7" t="s">
        <v>31</v>
      </c>
      <c r="C21" s="10">
        <v>101200000000</v>
      </c>
      <c r="D21" s="10">
        <v>378900000000</v>
      </c>
      <c r="E21" s="10">
        <v>631800000000</v>
      </c>
      <c r="F21" s="10">
        <v>140400000000</v>
      </c>
      <c r="G21" s="10">
        <v>145200000000</v>
      </c>
      <c r="H21" s="10">
        <v>25900000000</v>
      </c>
      <c r="I21" s="10">
        <v>32400000000</v>
      </c>
      <c r="J21" s="10">
        <v>0.14230364117111499</v>
      </c>
      <c r="K21" s="10">
        <v>0.261290322580645</v>
      </c>
      <c r="L21" s="10">
        <v>0.222923342162854</v>
      </c>
      <c r="M21" s="10">
        <v>0.28137785106358099</v>
      </c>
      <c r="N21" s="10">
        <v>0.18686868686868699</v>
      </c>
      <c r="O21" s="10">
        <v>0.18045757047784999</v>
      </c>
      <c r="P21" s="10">
        <v>0.180850556059377</v>
      </c>
      <c r="Q21" s="10">
        <v>0.109036100178313</v>
      </c>
      <c r="R21" s="10">
        <v>67635333.333333299</v>
      </c>
      <c r="S21" s="10">
        <v>1968.4703073836399</v>
      </c>
      <c r="T21" s="2">
        <f t="shared" si="0"/>
        <v>0</v>
      </c>
      <c r="U21" s="26">
        <v>13.475</v>
      </c>
      <c r="V21" s="9">
        <v>186537.7</v>
      </c>
      <c r="W21" s="9">
        <v>111177.3</v>
      </c>
    </row>
    <row r="22" spans="1:23">
      <c r="A22" s="8" t="s">
        <v>47</v>
      </c>
      <c r="B22" s="7" t="s">
        <v>31</v>
      </c>
      <c r="C22" s="9">
        <v>104800000000</v>
      </c>
      <c r="D22" s="9">
        <v>385800000000</v>
      </c>
      <c r="E22" s="9">
        <v>645000000000</v>
      </c>
      <c r="F22" s="9">
        <v>144700000000</v>
      </c>
      <c r="G22" s="9">
        <v>150500000000</v>
      </c>
      <c r="H22" s="9">
        <v>26700000000</v>
      </c>
      <c r="I22" s="9">
        <v>30600000000</v>
      </c>
      <c r="J22" s="9">
        <v>0.14317361976342799</v>
      </c>
      <c r="K22" s="9">
        <v>0.26086956521739102</v>
      </c>
      <c r="L22" s="9">
        <v>0.221757066452309</v>
      </c>
      <c r="M22" s="9">
        <v>0.28216859784049803</v>
      </c>
      <c r="N22" s="9">
        <v>0.18789584799437001</v>
      </c>
      <c r="O22" s="9">
        <v>0.18069757669141301</v>
      </c>
      <c r="P22" s="9">
        <v>0.181664076847012</v>
      </c>
      <c r="Q22" s="9">
        <v>0.10898641787793199</v>
      </c>
      <c r="R22" s="9">
        <v>67995666.666666701</v>
      </c>
      <c r="S22" s="9">
        <v>1968.4385280445899</v>
      </c>
      <c r="T22" s="2">
        <f t="shared" si="0"/>
        <v>0</v>
      </c>
      <c r="U22" s="25">
        <v>13.675000000000001</v>
      </c>
      <c r="V22" s="10">
        <v>189241.8</v>
      </c>
      <c r="W22" s="10">
        <v>112998.9</v>
      </c>
    </row>
    <row r="23" spans="1:23">
      <c r="A23" s="8" t="s">
        <v>48</v>
      </c>
      <c r="B23" s="7" t="s">
        <v>31</v>
      </c>
      <c r="C23" s="10">
        <v>106600000000</v>
      </c>
      <c r="D23" s="10">
        <v>390500000000</v>
      </c>
      <c r="E23" s="10">
        <v>654800000000</v>
      </c>
      <c r="F23" s="10">
        <v>147400000000</v>
      </c>
      <c r="G23" s="10">
        <v>152300000000</v>
      </c>
      <c r="H23" s="10">
        <v>26800000000</v>
      </c>
      <c r="I23" s="10">
        <v>32200000000</v>
      </c>
      <c r="J23" s="10">
        <v>0.14356200306356701</v>
      </c>
      <c r="K23" s="10">
        <v>0.26136363636363602</v>
      </c>
      <c r="L23" s="10">
        <v>0.222783527932405</v>
      </c>
      <c r="M23" s="10">
        <v>0.28405820799931197</v>
      </c>
      <c r="N23" s="10">
        <v>0.189131968948483</v>
      </c>
      <c r="O23" s="10">
        <v>0.18214186369958299</v>
      </c>
      <c r="P23" s="10">
        <v>0.18235733632203199</v>
      </c>
      <c r="Q23" s="10">
        <v>0.110992367406594</v>
      </c>
      <c r="R23" s="10">
        <v>68258000</v>
      </c>
      <c r="S23" s="10">
        <v>1967.9904261745801</v>
      </c>
      <c r="T23" s="2">
        <f t="shared" si="0"/>
        <v>0</v>
      </c>
      <c r="U23" s="26">
        <v>13.925000000000001</v>
      </c>
      <c r="V23" s="9">
        <v>191888.8</v>
      </c>
      <c r="W23" s="9">
        <v>114814.39999999999</v>
      </c>
    </row>
    <row r="24" spans="1:23">
      <c r="A24" s="8" t="s">
        <v>49</v>
      </c>
      <c r="B24" s="7" t="s">
        <v>31</v>
      </c>
      <c r="C24" s="9">
        <v>107500000000</v>
      </c>
      <c r="D24" s="9">
        <v>400100000000</v>
      </c>
      <c r="E24" s="9">
        <v>671100000000</v>
      </c>
      <c r="F24" s="9">
        <v>151100000000</v>
      </c>
      <c r="G24" s="9">
        <v>156300000000</v>
      </c>
      <c r="H24" s="9">
        <v>27000000000</v>
      </c>
      <c r="I24" s="9">
        <v>34200000000</v>
      </c>
      <c r="J24" s="9">
        <v>0.14415234567978</v>
      </c>
      <c r="K24" s="9">
        <v>0.26146788990825698</v>
      </c>
      <c r="L24" s="9">
        <v>0.221714405130958</v>
      </c>
      <c r="M24" s="9">
        <v>0.27758796577230599</v>
      </c>
      <c r="N24" s="9">
        <v>0.190812720848057</v>
      </c>
      <c r="O24" s="9">
        <v>0.182726604405478</v>
      </c>
      <c r="P24" s="9">
        <v>0.183229529217805</v>
      </c>
      <c r="Q24" s="9">
        <v>0.111694334962921</v>
      </c>
      <c r="R24" s="9">
        <v>68613666.666666701</v>
      </c>
      <c r="S24" s="9">
        <v>1967.00606220387</v>
      </c>
      <c r="T24" s="2">
        <f t="shared" si="0"/>
        <v>0</v>
      </c>
      <c r="U24" s="25">
        <v>14.5</v>
      </c>
      <c r="V24" s="10">
        <v>194303</v>
      </c>
      <c r="W24" s="10">
        <v>116601.3</v>
      </c>
    </row>
    <row r="25" spans="1:23">
      <c r="A25" s="8" t="s">
        <v>50</v>
      </c>
      <c r="B25" s="7" t="s">
        <v>31</v>
      </c>
      <c r="C25" s="10">
        <v>108700000000</v>
      </c>
      <c r="D25" s="10">
        <v>408100000000</v>
      </c>
      <c r="E25" s="10">
        <v>680800000000</v>
      </c>
      <c r="F25" s="10">
        <v>152600000000</v>
      </c>
      <c r="G25" s="10">
        <v>156900000000</v>
      </c>
      <c r="H25" s="10">
        <v>27700000000</v>
      </c>
      <c r="I25" s="10">
        <v>34800000000</v>
      </c>
      <c r="J25" s="10">
        <v>0.14438537565986301</v>
      </c>
      <c r="K25" s="10">
        <v>0.26165413533834597</v>
      </c>
      <c r="L25" s="10">
        <v>0.22399852486309699</v>
      </c>
      <c r="M25" s="10">
        <v>0.27870904869727198</v>
      </c>
      <c r="N25" s="10">
        <v>0.191430545957153</v>
      </c>
      <c r="O25" s="10">
        <v>0.18318803142826401</v>
      </c>
      <c r="P25" s="10">
        <v>0.18366336633663399</v>
      </c>
      <c r="Q25" s="10">
        <v>0.112194282716538</v>
      </c>
      <c r="R25" s="10">
        <v>69401666.666666701</v>
      </c>
      <c r="S25" s="10">
        <v>1968.3294449218799</v>
      </c>
      <c r="T25" s="2">
        <f t="shared" si="0"/>
        <v>0</v>
      </c>
      <c r="U25" s="26">
        <v>14.875</v>
      </c>
      <c r="V25" s="9">
        <v>196560.3</v>
      </c>
      <c r="W25" s="9">
        <v>118546</v>
      </c>
    </row>
    <row r="26" spans="1:23">
      <c r="A26" s="8" t="s">
        <v>51</v>
      </c>
      <c r="B26" s="7" t="s">
        <v>31</v>
      </c>
      <c r="C26" s="9">
        <v>110200000000</v>
      </c>
      <c r="D26" s="9">
        <v>417000000000</v>
      </c>
      <c r="E26" s="9">
        <v>692800000000</v>
      </c>
      <c r="F26" s="9">
        <v>154500000000</v>
      </c>
      <c r="G26" s="9">
        <v>159200000000</v>
      </c>
      <c r="H26" s="9">
        <v>28400000000</v>
      </c>
      <c r="I26" s="9">
        <v>34800000000</v>
      </c>
      <c r="J26" s="9">
        <v>0.14471161763198001</v>
      </c>
      <c r="K26" s="9">
        <v>0.263836239575436</v>
      </c>
      <c r="L26" s="9">
        <v>0.223933578480359</v>
      </c>
      <c r="M26" s="9">
        <v>0.27510310797169402</v>
      </c>
      <c r="N26" s="9">
        <v>0.19111709286675599</v>
      </c>
      <c r="O26" s="9">
        <v>0.18391781040112601</v>
      </c>
      <c r="P26" s="9">
        <v>0.18428495669082601</v>
      </c>
      <c r="Q26" s="9">
        <v>0.11378016441997101</v>
      </c>
      <c r="R26" s="9">
        <v>69480000</v>
      </c>
      <c r="S26" s="9">
        <v>1970.8118761415601</v>
      </c>
      <c r="T26" s="2">
        <f t="shared" si="0"/>
        <v>0</v>
      </c>
      <c r="U26" s="25">
        <v>15.35</v>
      </c>
      <c r="V26" s="10">
        <v>198712.1</v>
      </c>
      <c r="W26" s="10">
        <v>120582.2</v>
      </c>
    </row>
    <row r="27" spans="1:23">
      <c r="A27" s="8" t="s">
        <v>52</v>
      </c>
      <c r="B27" s="7" t="s">
        <v>31</v>
      </c>
      <c r="C27" s="10">
        <v>110300000000</v>
      </c>
      <c r="D27" s="10">
        <v>419600000000</v>
      </c>
      <c r="E27" s="10">
        <v>698400000000</v>
      </c>
      <c r="F27" s="10">
        <v>156600000000</v>
      </c>
      <c r="G27" s="10">
        <v>161600000000</v>
      </c>
      <c r="H27" s="10">
        <v>29300000000</v>
      </c>
      <c r="I27" s="10">
        <v>36200000000</v>
      </c>
      <c r="J27" s="10">
        <v>0.14537963690822001</v>
      </c>
      <c r="K27" s="10">
        <v>0.26637233259749798</v>
      </c>
      <c r="L27" s="10">
        <v>0.225583448898623</v>
      </c>
      <c r="M27" s="10">
        <v>0.27350335682687299</v>
      </c>
      <c r="N27" s="10">
        <v>0.192005242463958</v>
      </c>
      <c r="O27" s="10">
        <v>0.18475212951695699</v>
      </c>
      <c r="P27" s="10">
        <v>0.18491098184382199</v>
      </c>
      <c r="Q27" s="10">
        <v>0.114439292200099</v>
      </c>
      <c r="R27" s="10">
        <v>69710333.333333299</v>
      </c>
      <c r="S27" s="10">
        <v>1973.85261673269</v>
      </c>
      <c r="T27" s="2">
        <f t="shared" si="0"/>
        <v>0</v>
      </c>
      <c r="U27" s="26">
        <v>14.85</v>
      </c>
      <c r="V27" s="9">
        <v>200706</v>
      </c>
      <c r="W27" s="9">
        <v>122655.9</v>
      </c>
    </row>
    <row r="28" spans="1:23">
      <c r="A28" s="8" t="s">
        <v>53</v>
      </c>
      <c r="B28" s="7" t="s">
        <v>31</v>
      </c>
      <c r="C28" s="9">
        <v>111700000000</v>
      </c>
      <c r="D28" s="9">
        <v>430300000000</v>
      </c>
      <c r="E28" s="9">
        <v>719200000000</v>
      </c>
      <c r="F28" s="9">
        <v>161200000000</v>
      </c>
      <c r="G28" s="9">
        <v>172600000000</v>
      </c>
      <c r="H28" s="9">
        <v>28500000000</v>
      </c>
      <c r="I28" s="9">
        <v>33100000000</v>
      </c>
      <c r="J28" s="9">
        <v>0.14583016153638201</v>
      </c>
      <c r="K28" s="9">
        <v>0.27310231023102299</v>
      </c>
      <c r="L28" s="9">
        <v>0.22586316204845899</v>
      </c>
      <c r="M28" s="9">
        <v>0.26912689699449299</v>
      </c>
      <c r="N28" s="9">
        <v>0.193745751189667</v>
      </c>
      <c r="O28" s="9">
        <v>0.18567187298309001</v>
      </c>
      <c r="P28" s="9">
        <v>0.18549012845935001</v>
      </c>
      <c r="Q28" s="9">
        <v>0.115445764975005</v>
      </c>
      <c r="R28" s="9">
        <v>70187666.666666701</v>
      </c>
      <c r="S28" s="9">
        <v>1978.0709753845899</v>
      </c>
      <c r="T28" s="2">
        <f t="shared" si="0"/>
        <v>0</v>
      </c>
      <c r="U28" s="25">
        <v>16.225000000000001</v>
      </c>
      <c r="V28" s="10">
        <v>202677</v>
      </c>
      <c r="W28" s="10">
        <v>124737.2</v>
      </c>
    </row>
    <row r="29" spans="1:23">
      <c r="A29" s="8" t="s">
        <v>54</v>
      </c>
      <c r="B29" s="7" t="s">
        <v>31</v>
      </c>
      <c r="C29" s="10">
        <v>113800000000</v>
      </c>
      <c r="D29" s="10">
        <v>437200000000</v>
      </c>
      <c r="E29" s="10">
        <v>732400000000</v>
      </c>
      <c r="F29" s="10">
        <v>165400000000</v>
      </c>
      <c r="G29" s="10">
        <v>174000000000</v>
      </c>
      <c r="H29" s="10">
        <v>31700000000</v>
      </c>
      <c r="I29" s="10">
        <v>39100000000</v>
      </c>
      <c r="J29" s="10">
        <v>0.14676228145671699</v>
      </c>
      <c r="K29" s="10">
        <v>0.27152777777777798</v>
      </c>
      <c r="L29" s="10">
        <v>0.22648640339624099</v>
      </c>
      <c r="M29" s="10">
        <v>0.267659954198807</v>
      </c>
      <c r="N29" s="10">
        <v>0.19270516717325201</v>
      </c>
      <c r="O29" s="10">
        <v>0.18653219233903801</v>
      </c>
      <c r="P29" s="10">
        <v>0.18639948838200801</v>
      </c>
      <c r="Q29" s="10">
        <v>0.116003149803174</v>
      </c>
      <c r="R29" s="10">
        <v>70897333.333333299</v>
      </c>
      <c r="S29" s="10">
        <v>1979.6946121993201</v>
      </c>
      <c r="T29" s="2">
        <f t="shared" si="0"/>
        <v>0</v>
      </c>
      <c r="U29" s="26">
        <v>16.2</v>
      </c>
      <c r="V29" s="9">
        <v>205052.2</v>
      </c>
      <c r="W29" s="9">
        <v>127007</v>
      </c>
    </row>
    <row r="30" spans="1:23">
      <c r="A30" s="8" t="s">
        <v>55</v>
      </c>
      <c r="B30" s="7" t="s">
        <v>31</v>
      </c>
      <c r="C30" s="9">
        <v>118800000000</v>
      </c>
      <c r="D30" s="9">
        <v>446400000000</v>
      </c>
      <c r="E30" s="9">
        <v>750200000000</v>
      </c>
      <c r="F30" s="9">
        <v>170900000000</v>
      </c>
      <c r="G30" s="9">
        <v>180100000000</v>
      </c>
      <c r="H30" s="9">
        <v>32000000000</v>
      </c>
      <c r="I30" s="9">
        <v>36900000000</v>
      </c>
      <c r="J30" s="9">
        <v>0.14719727075287301</v>
      </c>
      <c r="K30" s="9">
        <v>0.271923360353721</v>
      </c>
      <c r="L30" s="9">
        <v>0.226800095550167</v>
      </c>
      <c r="M30" s="9">
        <v>0.26920289690287402</v>
      </c>
      <c r="N30" s="9">
        <v>0.193704600484262</v>
      </c>
      <c r="O30" s="9">
        <v>0.187259747391543</v>
      </c>
      <c r="P30" s="9">
        <v>0.18709920784609599</v>
      </c>
      <c r="Q30" s="9">
        <v>0.117468039987841</v>
      </c>
      <c r="R30" s="9">
        <v>71369333.333333299</v>
      </c>
      <c r="S30" s="9">
        <v>1979.8113409216801</v>
      </c>
      <c r="T30" s="2">
        <f t="shared" si="0"/>
        <v>0</v>
      </c>
      <c r="U30" s="25">
        <v>16.675000000000001</v>
      </c>
      <c r="V30" s="10">
        <v>207660.7</v>
      </c>
      <c r="W30" s="10">
        <v>129364.8</v>
      </c>
    </row>
    <row r="31" spans="1:23">
      <c r="A31" s="8" t="s">
        <v>56</v>
      </c>
      <c r="B31" s="7" t="s">
        <v>31</v>
      </c>
      <c r="C31" s="10">
        <v>124000000000</v>
      </c>
      <c r="D31" s="10">
        <v>460400000000</v>
      </c>
      <c r="E31" s="10">
        <v>773100000000</v>
      </c>
      <c r="F31" s="10">
        <v>175600000000</v>
      </c>
      <c r="G31" s="10">
        <v>183100000000</v>
      </c>
      <c r="H31" s="10">
        <v>33900000000</v>
      </c>
      <c r="I31" s="10">
        <v>39500000000</v>
      </c>
      <c r="J31" s="10">
        <v>0.14797403735315201</v>
      </c>
      <c r="K31" s="10">
        <v>0.27147766323024097</v>
      </c>
      <c r="L31" s="10">
        <v>0.22915731208040799</v>
      </c>
      <c r="M31" s="10">
        <v>0.27498303718129502</v>
      </c>
      <c r="N31" s="10">
        <v>0.19572748267898399</v>
      </c>
      <c r="O31" s="10">
        <v>0.18853338535823999</v>
      </c>
      <c r="P31" s="10">
        <v>0.18769619633902701</v>
      </c>
      <c r="Q31" s="10">
        <v>0.11923675412042301</v>
      </c>
      <c r="R31" s="10">
        <v>71827000</v>
      </c>
      <c r="S31" s="10">
        <v>1978.4230714944099</v>
      </c>
      <c r="T31" s="2">
        <f t="shared" si="0"/>
        <v>0</v>
      </c>
      <c r="U31" s="26">
        <v>17.274999999999999</v>
      </c>
      <c r="V31" s="9">
        <v>209896</v>
      </c>
      <c r="W31" s="9">
        <v>131829.29999999999</v>
      </c>
    </row>
    <row r="32" spans="1:23">
      <c r="A32" s="8" t="s">
        <v>57</v>
      </c>
      <c r="B32" s="7" t="s">
        <v>31</v>
      </c>
      <c r="C32" s="9">
        <v>125900000000</v>
      </c>
      <c r="D32" s="9">
        <v>470800000000</v>
      </c>
      <c r="E32" s="9">
        <v>797300000000</v>
      </c>
      <c r="F32" s="9">
        <v>182200000000</v>
      </c>
      <c r="G32" s="9">
        <v>196200000000</v>
      </c>
      <c r="H32" s="9">
        <v>35000000000</v>
      </c>
      <c r="I32" s="9">
        <v>39400000000</v>
      </c>
      <c r="J32" s="9">
        <v>0.149356681901649</v>
      </c>
      <c r="K32" s="9">
        <v>0.27552447552447601</v>
      </c>
      <c r="L32" s="9">
        <v>0.228534572984984</v>
      </c>
      <c r="M32" s="9">
        <v>0.26788327085937003</v>
      </c>
      <c r="N32" s="9">
        <v>0.19696117051209899</v>
      </c>
      <c r="O32" s="9">
        <v>0.18974749518075201</v>
      </c>
      <c r="P32" s="9">
        <v>0.18914467076453301</v>
      </c>
      <c r="Q32" s="9">
        <v>0.12007200181184199</v>
      </c>
      <c r="R32" s="9">
        <v>72173333.333333299</v>
      </c>
      <c r="S32" s="9">
        <v>1975.39347835171</v>
      </c>
      <c r="T32" s="2">
        <f t="shared" si="0"/>
        <v>0</v>
      </c>
      <c r="U32" s="25">
        <v>18.074999999999999</v>
      </c>
      <c r="V32" s="10">
        <v>211908.8</v>
      </c>
      <c r="W32" s="10">
        <v>134224.6</v>
      </c>
    </row>
    <row r="33" spans="1:23">
      <c r="A33" s="8" t="s">
        <v>58</v>
      </c>
      <c r="B33" s="7" t="s">
        <v>31</v>
      </c>
      <c r="C33" s="10">
        <v>130600000000</v>
      </c>
      <c r="D33" s="10">
        <v>475900000000</v>
      </c>
      <c r="E33" s="10">
        <v>807200000000</v>
      </c>
      <c r="F33" s="10">
        <v>183200000000</v>
      </c>
      <c r="G33" s="10">
        <v>195400000000</v>
      </c>
      <c r="H33" s="10">
        <v>36200000000</v>
      </c>
      <c r="I33" s="10">
        <v>41500000000</v>
      </c>
      <c r="J33" s="10">
        <v>0.150708255786134</v>
      </c>
      <c r="K33" s="10">
        <v>0.278150134048257</v>
      </c>
      <c r="L33" s="10">
        <v>0.23381846617810501</v>
      </c>
      <c r="M33" s="10">
        <v>0.27682502750718502</v>
      </c>
      <c r="N33" s="10">
        <v>0.198791872597474</v>
      </c>
      <c r="O33" s="10">
        <v>0.19132042378706399</v>
      </c>
      <c r="P33" s="10">
        <v>0.19071090807085</v>
      </c>
      <c r="Q33" s="10">
        <v>0.12059398693477399</v>
      </c>
      <c r="R33" s="10">
        <v>72594000</v>
      </c>
      <c r="S33" s="10">
        <v>1971.7365211446599</v>
      </c>
      <c r="T33" s="2">
        <f t="shared" si="0"/>
        <v>0</v>
      </c>
      <c r="U33" s="26">
        <v>17.425000000000001</v>
      </c>
      <c r="V33" s="9">
        <v>213853.9</v>
      </c>
      <c r="W33" s="9">
        <v>136590</v>
      </c>
    </row>
    <row r="34" spans="1:23">
      <c r="A34" s="8" t="s">
        <v>59</v>
      </c>
      <c r="B34" s="7" t="s">
        <v>31</v>
      </c>
      <c r="C34" s="9">
        <v>136200000000</v>
      </c>
      <c r="D34" s="9">
        <v>485000000000</v>
      </c>
      <c r="E34" s="9">
        <v>820800000000</v>
      </c>
      <c r="F34" s="9">
        <v>185500000000</v>
      </c>
      <c r="G34" s="9">
        <v>197400000000</v>
      </c>
      <c r="H34" s="9">
        <v>38200000000</v>
      </c>
      <c r="I34" s="9">
        <v>40400000000</v>
      </c>
      <c r="J34" s="9">
        <v>0.15201322367460299</v>
      </c>
      <c r="K34" s="9">
        <v>0.28133704735375997</v>
      </c>
      <c r="L34" s="9">
        <v>0.23398777358922401</v>
      </c>
      <c r="M34" s="9">
        <v>0.281481499876788</v>
      </c>
      <c r="N34" s="9">
        <v>0.19864794591783699</v>
      </c>
      <c r="O34" s="9">
        <v>0.193165772380683</v>
      </c>
      <c r="P34" s="9">
        <v>0.192170536492591</v>
      </c>
      <c r="Q34" s="9">
        <v>0.123276262129961</v>
      </c>
      <c r="R34" s="9">
        <v>73088000</v>
      </c>
      <c r="S34" s="9">
        <v>1967.17140301213</v>
      </c>
      <c r="T34" s="2">
        <f t="shared" si="0"/>
        <v>0</v>
      </c>
      <c r="U34" s="25">
        <v>18.074999999999999</v>
      </c>
      <c r="V34" s="10">
        <v>215973.2</v>
      </c>
      <c r="W34" s="10">
        <v>138915.4</v>
      </c>
    </row>
    <row r="35" spans="1:23">
      <c r="A35" s="8" t="s">
        <v>60</v>
      </c>
      <c r="B35" s="7" t="s">
        <v>31</v>
      </c>
      <c r="C35" s="10">
        <v>138400000000</v>
      </c>
      <c r="D35" s="10">
        <v>490800000000</v>
      </c>
      <c r="E35" s="10">
        <v>834900000000</v>
      </c>
      <c r="F35" s="10">
        <v>185600000000</v>
      </c>
      <c r="G35" s="10">
        <v>202100000000</v>
      </c>
      <c r="H35" s="10">
        <v>38800000000</v>
      </c>
      <c r="I35" s="10">
        <v>42400000000</v>
      </c>
      <c r="J35" s="10">
        <v>0.15325605023505001</v>
      </c>
      <c r="K35" s="10">
        <v>0.28590694538098399</v>
      </c>
      <c r="L35" s="10">
        <v>0.237538343246772</v>
      </c>
      <c r="M35" s="10">
        <v>0.28350357478181398</v>
      </c>
      <c r="N35" s="10">
        <v>0.19948586118251899</v>
      </c>
      <c r="O35" s="10">
        <v>0.19481519507186901</v>
      </c>
      <c r="P35" s="10">
        <v>0.193670586378344</v>
      </c>
      <c r="Q35" s="10">
        <v>0.12387139006551701</v>
      </c>
      <c r="R35" s="10">
        <v>73656666.666666701</v>
      </c>
      <c r="S35" s="10">
        <v>1961.6985974915001</v>
      </c>
      <c r="T35" s="2">
        <f t="shared" si="0"/>
        <v>0</v>
      </c>
      <c r="U35" s="26">
        <v>18.149999999999999</v>
      </c>
      <c r="V35" s="9">
        <v>218035.20000000001</v>
      </c>
      <c r="W35" s="9">
        <v>141381.1</v>
      </c>
    </row>
    <row r="36" spans="1:23">
      <c r="A36" s="8" t="s">
        <v>61</v>
      </c>
      <c r="B36" s="7" t="s">
        <v>31</v>
      </c>
      <c r="C36" s="9">
        <v>145800000000</v>
      </c>
      <c r="D36" s="9">
        <v>495100000000</v>
      </c>
      <c r="E36" s="9">
        <v>846000000000</v>
      </c>
      <c r="F36" s="9">
        <v>185300000000</v>
      </c>
      <c r="G36" s="9">
        <v>200500000000</v>
      </c>
      <c r="H36" s="9">
        <v>39400000000</v>
      </c>
      <c r="I36" s="9">
        <v>44000000000</v>
      </c>
      <c r="J36" s="9">
        <v>0.153644433535189</v>
      </c>
      <c r="K36" s="9">
        <v>0.29100529100529099</v>
      </c>
      <c r="L36" s="9">
        <v>0.239310388576435</v>
      </c>
      <c r="M36" s="9">
        <v>0.29271811926067498</v>
      </c>
      <c r="N36" s="9">
        <v>0.199493670886076</v>
      </c>
      <c r="O36" s="9">
        <v>0.195611459224491</v>
      </c>
      <c r="P36" s="9">
        <v>0.19424065283063299</v>
      </c>
      <c r="Q36" s="9">
        <v>0.124762543938368</v>
      </c>
      <c r="R36" s="9">
        <v>73572000</v>
      </c>
      <c r="S36" s="9">
        <v>1954.26757206138</v>
      </c>
      <c r="T36" s="2">
        <f t="shared" si="0"/>
        <v>0</v>
      </c>
      <c r="U36" s="25">
        <v>17.774999999999999</v>
      </c>
      <c r="V36" s="10">
        <v>220239.4</v>
      </c>
      <c r="W36" s="10">
        <v>143750.29999999999</v>
      </c>
    </row>
    <row r="37" spans="1:23">
      <c r="A37" s="8" t="s">
        <v>62</v>
      </c>
      <c r="B37" s="7" t="s">
        <v>31</v>
      </c>
      <c r="C37" s="10">
        <v>148300000000</v>
      </c>
      <c r="D37" s="10">
        <v>504200000000</v>
      </c>
      <c r="E37" s="10">
        <v>851100000000</v>
      </c>
      <c r="F37" s="10">
        <v>187800000000</v>
      </c>
      <c r="G37" s="10">
        <v>194100000000</v>
      </c>
      <c r="H37" s="10">
        <v>39000000000</v>
      </c>
      <c r="I37" s="10">
        <v>43500000000</v>
      </c>
      <c r="J37" s="10">
        <v>0.15457655345552401</v>
      </c>
      <c r="K37" s="10">
        <v>0.29038718291054699</v>
      </c>
      <c r="L37" s="10">
        <v>0.24047792178167901</v>
      </c>
      <c r="M37" s="10">
        <v>0.29971800937074</v>
      </c>
      <c r="N37" s="10">
        <v>0.198979591836735</v>
      </c>
      <c r="O37" s="10">
        <v>0.19661792223993299</v>
      </c>
      <c r="P37" s="10">
        <v>0.195146495336146</v>
      </c>
      <c r="Q37" s="10">
        <v>0.126410192352814</v>
      </c>
      <c r="R37" s="10">
        <v>74001333.333333299</v>
      </c>
      <c r="S37" s="10">
        <v>1947.62537418327</v>
      </c>
      <c r="T37" s="2">
        <f t="shared" si="0"/>
        <v>0</v>
      </c>
      <c r="U37" s="26">
        <v>18.625</v>
      </c>
      <c r="V37" s="9">
        <v>222584.5</v>
      </c>
      <c r="W37" s="9">
        <v>146127.9</v>
      </c>
    </row>
    <row r="38" spans="1:23">
      <c r="A38" s="8" t="s">
        <v>63</v>
      </c>
      <c r="B38" s="7" t="s">
        <v>31</v>
      </c>
      <c r="C38" s="9">
        <v>151500000000</v>
      </c>
      <c r="D38" s="9">
        <v>511400000000</v>
      </c>
      <c r="E38" s="9">
        <v>866600000000</v>
      </c>
      <c r="F38" s="9">
        <v>191600000000</v>
      </c>
      <c r="G38" s="9">
        <v>200800000000</v>
      </c>
      <c r="H38" s="9">
        <v>39500000000</v>
      </c>
      <c r="I38" s="9">
        <v>42400000000</v>
      </c>
      <c r="J38" s="9">
        <v>0.156130086656082</v>
      </c>
      <c r="K38" s="9">
        <v>0.29001367989056098</v>
      </c>
      <c r="L38" s="9">
        <v>0.24260502182355201</v>
      </c>
      <c r="M38" s="9">
        <v>0.30041589460638302</v>
      </c>
      <c r="N38" s="9">
        <v>0.19899244332493701</v>
      </c>
      <c r="O38" s="9">
        <v>0.19848377270332801</v>
      </c>
      <c r="P38" s="9">
        <v>0.196927105394894</v>
      </c>
      <c r="Q38" s="9">
        <v>0.12799752093095201</v>
      </c>
      <c r="R38" s="9">
        <v>74713666.666666701</v>
      </c>
      <c r="S38" s="9">
        <v>1941.4306937832</v>
      </c>
      <c r="T38" s="2">
        <f t="shared" si="0"/>
        <v>0</v>
      </c>
      <c r="U38" s="25">
        <v>18.675000000000001</v>
      </c>
      <c r="V38" s="10">
        <v>225055.5</v>
      </c>
      <c r="W38" s="10">
        <v>148467.1</v>
      </c>
    </row>
    <row r="39" spans="1:23">
      <c r="A39" s="8" t="s">
        <v>64</v>
      </c>
      <c r="B39" s="7" t="s">
        <v>31</v>
      </c>
      <c r="C39" s="10">
        <v>156100000000</v>
      </c>
      <c r="D39" s="10">
        <v>518900000000</v>
      </c>
      <c r="E39" s="10">
        <v>883200000000</v>
      </c>
      <c r="F39" s="10">
        <v>197500000000</v>
      </c>
      <c r="G39" s="10">
        <v>206000000000</v>
      </c>
      <c r="H39" s="10">
        <v>41700000000</v>
      </c>
      <c r="I39" s="10">
        <v>43900000000</v>
      </c>
      <c r="J39" s="10">
        <v>0.15783897317669601</v>
      </c>
      <c r="K39" s="10">
        <v>0.29188829787234</v>
      </c>
      <c r="L39" s="10">
        <v>0.24487617446875001</v>
      </c>
      <c r="M39" s="10">
        <v>0.30199903514405602</v>
      </c>
      <c r="N39" s="10">
        <v>0.19952153110047799</v>
      </c>
      <c r="O39" s="10">
        <v>0.20067254385167699</v>
      </c>
      <c r="P39" s="10">
        <v>0.19860680522065299</v>
      </c>
      <c r="Q39" s="10">
        <v>0.130504395657946</v>
      </c>
      <c r="R39" s="10">
        <v>75216333.333333299</v>
      </c>
      <c r="S39" s="10">
        <v>1936.6763599721501</v>
      </c>
      <c r="T39" s="2">
        <f t="shared" si="0"/>
        <v>0</v>
      </c>
      <c r="U39" s="26">
        <v>18.899999999999999</v>
      </c>
      <c r="V39" s="9">
        <v>227224.7</v>
      </c>
      <c r="W39" s="9">
        <v>150227.4</v>
      </c>
    </row>
    <row r="40" spans="1:23">
      <c r="A40" s="8" t="s">
        <v>65</v>
      </c>
      <c r="B40" s="7" t="s">
        <v>31</v>
      </c>
      <c r="C40" s="9">
        <v>162500000000</v>
      </c>
      <c r="D40" s="9">
        <v>536900000000</v>
      </c>
      <c r="E40" s="9">
        <v>911100000000</v>
      </c>
      <c r="F40" s="9">
        <v>202200000000</v>
      </c>
      <c r="G40" s="9">
        <v>210600000000</v>
      </c>
      <c r="H40" s="9">
        <v>44400000000</v>
      </c>
      <c r="I40" s="9">
        <v>45500000000</v>
      </c>
      <c r="J40" s="9">
        <v>0.159392506377254</v>
      </c>
      <c r="K40" s="9">
        <v>0.29411764705882398</v>
      </c>
      <c r="L40" s="9">
        <v>0.24729684869375901</v>
      </c>
      <c r="M40" s="9">
        <v>0.30729542007295801</v>
      </c>
      <c r="N40" s="9">
        <v>0.20063262539539101</v>
      </c>
      <c r="O40" s="9">
        <v>0.20289048234088999</v>
      </c>
      <c r="P40" s="9">
        <v>0.20072528787199001</v>
      </c>
      <c r="Q40" s="9">
        <v>0.132289951477149</v>
      </c>
      <c r="R40" s="9">
        <v>75102666.666666701</v>
      </c>
      <c r="S40" s="9">
        <v>1934.17510898623</v>
      </c>
      <c r="T40" s="2">
        <f t="shared" si="0"/>
        <v>0</v>
      </c>
      <c r="U40" s="25">
        <v>20.225000000000001</v>
      </c>
      <c r="V40" s="10">
        <v>229465.7</v>
      </c>
      <c r="W40" s="10">
        <v>151991.70000000001</v>
      </c>
    </row>
    <row r="41" spans="1:23">
      <c r="A41" s="8" t="s">
        <v>66</v>
      </c>
      <c r="B41" s="7" t="s">
        <v>31</v>
      </c>
      <c r="C41" s="10">
        <v>165300000000</v>
      </c>
      <c r="D41" s="10">
        <v>550600000000</v>
      </c>
      <c r="E41" s="10">
        <v>936300000000</v>
      </c>
      <c r="F41" s="10">
        <v>204400000000</v>
      </c>
      <c r="G41" s="10">
        <v>218400000000</v>
      </c>
      <c r="H41" s="10">
        <v>45400000000</v>
      </c>
      <c r="I41" s="10">
        <v>47400000000</v>
      </c>
      <c r="J41" s="10">
        <v>0.16094603957781201</v>
      </c>
      <c r="K41" s="10">
        <v>0.30038022813688198</v>
      </c>
      <c r="L41" s="10">
        <v>0.25023081670743103</v>
      </c>
      <c r="M41" s="10">
        <v>0.30373346542049801</v>
      </c>
      <c r="N41" s="10">
        <v>0.202047174009791</v>
      </c>
      <c r="O41" s="10">
        <v>0.205041170287316</v>
      </c>
      <c r="P41" s="10">
        <v>0.20275445573722201</v>
      </c>
      <c r="Q41" s="10">
        <v>0.13422822756399899</v>
      </c>
      <c r="R41" s="10">
        <v>75950000</v>
      </c>
      <c r="S41" s="10">
        <v>1933.92583386809</v>
      </c>
      <c r="T41" s="2">
        <f t="shared" si="0"/>
        <v>0</v>
      </c>
      <c r="U41" s="26">
        <v>20.774999999999999</v>
      </c>
      <c r="V41" s="9">
        <v>231664.5</v>
      </c>
      <c r="W41" s="9">
        <v>153546.6</v>
      </c>
    </row>
    <row r="42" spans="1:23">
      <c r="A42" s="8" t="s">
        <v>67</v>
      </c>
      <c r="B42" s="7" t="s">
        <v>31</v>
      </c>
      <c r="C42" s="9">
        <v>169100000000</v>
      </c>
      <c r="D42" s="9">
        <v>566700000000</v>
      </c>
      <c r="E42" s="9">
        <v>952300000000</v>
      </c>
      <c r="F42" s="9">
        <v>207500000000</v>
      </c>
      <c r="G42" s="9">
        <v>215200000000</v>
      </c>
      <c r="H42" s="9">
        <v>48200000000</v>
      </c>
      <c r="I42" s="9">
        <v>49500000000</v>
      </c>
      <c r="J42" s="9">
        <v>0.16312098605859299</v>
      </c>
      <c r="K42" s="9">
        <v>0.29622980251346498</v>
      </c>
      <c r="L42" s="9">
        <v>0.251670447015992</v>
      </c>
      <c r="M42" s="9">
        <v>0.30802101454741199</v>
      </c>
      <c r="N42" s="9">
        <v>0.20235096557514701</v>
      </c>
      <c r="O42" s="9">
        <v>0.20705324723327501</v>
      </c>
      <c r="P42" s="9">
        <v>0.204836261114726</v>
      </c>
      <c r="Q42" s="9">
        <v>0.13669606107444299</v>
      </c>
      <c r="R42" s="9">
        <v>76100666.666666701</v>
      </c>
      <c r="S42" s="9">
        <v>1935.23329552216</v>
      </c>
      <c r="T42" s="2">
        <f t="shared" si="0"/>
        <v>0</v>
      </c>
      <c r="U42" s="25">
        <v>21.875</v>
      </c>
      <c r="V42" s="10">
        <v>233792</v>
      </c>
      <c r="W42" s="10">
        <v>154962.70000000001</v>
      </c>
    </row>
    <row r="43" spans="1:23">
      <c r="A43" s="8" t="s">
        <v>68</v>
      </c>
      <c r="B43" s="7" t="s">
        <v>31</v>
      </c>
      <c r="C43" s="10">
        <v>173100000000</v>
      </c>
      <c r="D43" s="10">
        <v>575600000000</v>
      </c>
      <c r="E43" s="10">
        <v>970100000000</v>
      </c>
      <c r="F43" s="10">
        <v>214400000000</v>
      </c>
      <c r="G43" s="10">
        <v>220400000000</v>
      </c>
      <c r="H43" s="10">
        <v>48200000000</v>
      </c>
      <c r="I43" s="10">
        <v>49200000000</v>
      </c>
      <c r="J43" s="10">
        <v>0.16514057921931799</v>
      </c>
      <c r="K43" s="10">
        <v>0.29818181818181799</v>
      </c>
      <c r="L43" s="10">
        <v>0.25701093476137199</v>
      </c>
      <c r="M43" s="10">
        <v>0.31612278112359199</v>
      </c>
      <c r="N43" s="10">
        <v>0.20406435224386099</v>
      </c>
      <c r="O43" s="10">
        <v>0.209987445343954</v>
      </c>
      <c r="P43" s="10">
        <v>0.20711741211183499</v>
      </c>
      <c r="Q43" s="10">
        <v>0.13886430083919399</v>
      </c>
      <c r="R43" s="10">
        <v>76498666.666666701</v>
      </c>
      <c r="S43" s="10">
        <v>1936.66576162352</v>
      </c>
      <c r="T43" s="2">
        <f t="shared" si="0"/>
        <v>0</v>
      </c>
      <c r="U43" s="26">
        <v>21.95</v>
      </c>
      <c r="V43" s="9">
        <v>235824.9</v>
      </c>
      <c r="W43" s="9">
        <v>156464.29999999999</v>
      </c>
    </row>
    <row r="44" spans="1:23">
      <c r="A44" s="8" t="s">
        <v>69</v>
      </c>
      <c r="B44" s="7" t="s">
        <v>31</v>
      </c>
      <c r="C44" s="9">
        <v>173500000000</v>
      </c>
      <c r="D44" s="9">
        <v>587800000000</v>
      </c>
      <c r="E44" s="9">
        <v>995400000000</v>
      </c>
      <c r="F44" s="9">
        <v>222400000000</v>
      </c>
      <c r="G44" s="9">
        <v>233900000000</v>
      </c>
      <c r="H44" s="9">
        <v>43800000000</v>
      </c>
      <c r="I44" s="9">
        <v>44000000000</v>
      </c>
      <c r="J44" s="9">
        <v>0.16716017238004399</v>
      </c>
      <c r="K44" s="9">
        <v>0.30303030303030298</v>
      </c>
      <c r="L44" s="9">
        <v>0.25882238291623599</v>
      </c>
      <c r="M44" s="9">
        <v>0.31438125388046401</v>
      </c>
      <c r="N44" s="9">
        <v>0.20476858345021001</v>
      </c>
      <c r="O44" s="9">
        <v>0.212166425100179</v>
      </c>
      <c r="P44" s="9">
        <v>0.20916660735890699</v>
      </c>
      <c r="Q44" s="9">
        <v>0.13991096405557399</v>
      </c>
      <c r="R44" s="9">
        <v>77166333.333333299</v>
      </c>
      <c r="S44" s="9">
        <v>1938.7335862636501</v>
      </c>
      <c r="T44" s="2">
        <f t="shared" si="0"/>
        <v>0</v>
      </c>
      <c r="U44" s="25">
        <v>22.5</v>
      </c>
      <c r="V44" s="10">
        <v>237923.8</v>
      </c>
      <c r="W44" s="10">
        <v>157973.70000000001</v>
      </c>
    </row>
    <row r="45" spans="1:23">
      <c r="A45" s="8" t="s">
        <v>70</v>
      </c>
      <c r="B45" s="7" t="s">
        <v>31</v>
      </c>
      <c r="C45" s="10">
        <v>178500000000</v>
      </c>
      <c r="D45" s="10">
        <v>599200000000</v>
      </c>
      <c r="E45" s="10">
        <v>1011400000000</v>
      </c>
      <c r="F45" s="10">
        <v>223300000000</v>
      </c>
      <c r="G45" s="10">
        <v>232500000000</v>
      </c>
      <c r="H45" s="10">
        <v>52700000000</v>
      </c>
      <c r="I45" s="10">
        <v>53900000000</v>
      </c>
      <c r="J45" s="10">
        <v>0.16980117882099299</v>
      </c>
      <c r="K45" s="10">
        <v>0.303149606299213</v>
      </c>
      <c r="L45" s="10">
        <v>0.26310577894377202</v>
      </c>
      <c r="M45" s="10">
        <v>0.31620256794899498</v>
      </c>
      <c r="N45" s="10">
        <v>0.205778992581023</v>
      </c>
      <c r="O45" s="10">
        <v>0.214885163702807</v>
      </c>
      <c r="P45" s="10">
        <v>0.21186620465313599</v>
      </c>
      <c r="Q45" s="10">
        <v>0.142220940198728</v>
      </c>
      <c r="R45" s="10">
        <v>77605000</v>
      </c>
      <c r="S45" s="10">
        <v>1936.0380746258299</v>
      </c>
      <c r="T45" s="2">
        <f t="shared" si="0"/>
        <v>0</v>
      </c>
      <c r="U45" s="26">
        <v>22.6</v>
      </c>
      <c r="V45" s="9">
        <v>240132.9</v>
      </c>
      <c r="W45" s="9">
        <v>159590.20000000001</v>
      </c>
    </row>
    <row r="46" spans="1:23">
      <c r="A46" s="8" t="s">
        <v>71</v>
      </c>
      <c r="B46" s="7" t="s">
        <v>31</v>
      </c>
      <c r="C46" s="9">
        <v>184100000000</v>
      </c>
      <c r="D46" s="9">
        <v>609500000000</v>
      </c>
      <c r="E46" s="9">
        <v>1032000000000</v>
      </c>
      <c r="F46" s="9">
        <v>227300000000</v>
      </c>
      <c r="G46" s="9">
        <v>237500000000</v>
      </c>
      <c r="H46" s="9">
        <v>52400000000</v>
      </c>
      <c r="I46" s="9">
        <v>53300000000</v>
      </c>
      <c r="J46" s="9">
        <v>0.17213147862183001</v>
      </c>
      <c r="K46" s="9">
        <v>0.30702764976958502</v>
      </c>
      <c r="L46" s="9">
        <v>0.26460047252430602</v>
      </c>
      <c r="M46" s="9">
        <v>0.31703148743201598</v>
      </c>
      <c r="N46" s="9">
        <v>0.207278481012658</v>
      </c>
      <c r="O46" s="9">
        <v>0.21790080445936499</v>
      </c>
      <c r="P46" s="9">
        <v>0.214469193145431</v>
      </c>
      <c r="Q46" s="9">
        <v>0.14628839204695701</v>
      </c>
      <c r="R46" s="9">
        <v>78153000</v>
      </c>
      <c r="S46" s="9">
        <v>1930.4614066804299</v>
      </c>
      <c r="T46" s="2">
        <f t="shared" si="0"/>
        <v>0</v>
      </c>
      <c r="U46" s="25">
        <v>22.65</v>
      </c>
      <c r="V46" s="10">
        <v>242288.9</v>
      </c>
      <c r="W46" s="10">
        <v>160803.4</v>
      </c>
    </row>
    <row r="47" spans="1:23">
      <c r="A47" s="8" t="s">
        <v>72</v>
      </c>
      <c r="B47" s="7" t="s">
        <v>31</v>
      </c>
      <c r="C47" s="10">
        <v>187300000000</v>
      </c>
      <c r="D47" s="10">
        <v>621500000000</v>
      </c>
      <c r="E47" s="10">
        <v>1040700000000</v>
      </c>
      <c r="F47" s="10">
        <v>222800000000</v>
      </c>
      <c r="G47" s="10">
        <v>228500000000</v>
      </c>
      <c r="H47" s="10">
        <v>53100000000</v>
      </c>
      <c r="I47" s="10">
        <v>56500000000</v>
      </c>
      <c r="J47" s="10">
        <v>0.17477248506277801</v>
      </c>
      <c r="K47" s="10">
        <v>0.314763231197772</v>
      </c>
      <c r="L47" s="10">
        <v>0.26971848990741198</v>
      </c>
      <c r="M47" s="10">
        <v>0.33019935431164799</v>
      </c>
      <c r="N47" s="10">
        <v>0.21240000000000001</v>
      </c>
      <c r="O47" s="10">
        <v>0.22069769907751</v>
      </c>
      <c r="P47" s="10">
        <v>0.21695873769461699</v>
      </c>
      <c r="Q47" s="10">
        <v>0.14853351375608601</v>
      </c>
      <c r="R47" s="10">
        <v>78575333.333333299</v>
      </c>
      <c r="S47" s="10">
        <v>1922.76693243009</v>
      </c>
      <c r="T47" s="2">
        <f t="shared" si="0"/>
        <v>0</v>
      </c>
      <c r="U47" s="26">
        <v>22.7</v>
      </c>
      <c r="V47" s="9">
        <v>244499</v>
      </c>
      <c r="W47" s="9">
        <v>161924.4</v>
      </c>
    </row>
    <row r="48" spans="1:23">
      <c r="A48" s="8" t="s">
        <v>73</v>
      </c>
      <c r="B48" s="7" t="s">
        <v>31</v>
      </c>
      <c r="C48" s="9">
        <v>190500000000</v>
      </c>
      <c r="D48" s="9">
        <v>632600000000</v>
      </c>
      <c r="E48" s="9">
        <v>1053500000000</v>
      </c>
      <c r="F48" s="9">
        <v>225300000000</v>
      </c>
      <c r="G48" s="9">
        <v>227000000000</v>
      </c>
      <c r="H48" s="9">
        <v>53500000000</v>
      </c>
      <c r="I48" s="9">
        <v>56900000000</v>
      </c>
      <c r="J48" s="9">
        <v>0.17756884482378299</v>
      </c>
      <c r="K48" s="9">
        <v>0.31453841901603102</v>
      </c>
      <c r="L48" s="9">
        <v>0.271864107384023</v>
      </c>
      <c r="M48" s="9">
        <v>0.334073857855398</v>
      </c>
      <c r="N48" s="9">
        <v>0.21468699839486399</v>
      </c>
      <c r="O48" s="9">
        <v>0.223810838945423</v>
      </c>
      <c r="P48" s="9">
        <v>0.21947750060715401</v>
      </c>
      <c r="Q48" s="9">
        <v>0.153056419534357</v>
      </c>
      <c r="R48" s="9">
        <v>78780333.333333299</v>
      </c>
      <c r="S48" s="9">
        <v>1911.6345487711801</v>
      </c>
      <c r="T48" s="2">
        <f t="shared" si="0"/>
        <v>0</v>
      </c>
      <c r="U48" s="25">
        <v>22.4</v>
      </c>
      <c r="V48" s="10">
        <v>246819.20000000001</v>
      </c>
      <c r="W48" s="10">
        <v>162915.79999999999</v>
      </c>
    </row>
    <row r="49" spans="1:23">
      <c r="A49" s="8" t="s">
        <v>74</v>
      </c>
      <c r="B49" s="7" t="s">
        <v>31</v>
      </c>
      <c r="C49" s="10">
        <v>191800000000</v>
      </c>
      <c r="D49" s="10">
        <v>642500000000</v>
      </c>
      <c r="E49" s="10">
        <v>1070100000000</v>
      </c>
      <c r="F49" s="10">
        <v>225200000000</v>
      </c>
      <c r="G49" s="10">
        <v>230400000000</v>
      </c>
      <c r="H49" s="10">
        <v>55200000000</v>
      </c>
      <c r="I49" s="10">
        <v>60600000000</v>
      </c>
      <c r="J49" s="10">
        <v>0.18005449794467601</v>
      </c>
      <c r="K49" s="10">
        <v>0.32080465854949702</v>
      </c>
      <c r="L49" s="10">
        <v>0.27815581126350603</v>
      </c>
      <c r="M49" s="10">
        <v>0.336919798487954</v>
      </c>
      <c r="N49" s="10">
        <v>0.21723730814639899</v>
      </c>
      <c r="O49" s="10">
        <v>0.22693726937269401</v>
      </c>
      <c r="P49" s="10">
        <v>0.221888382373256</v>
      </c>
      <c r="Q49" s="10">
        <v>0.155633057441696</v>
      </c>
      <c r="R49" s="10">
        <v>78635666.666666701</v>
      </c>
      <c r="S49" s="10">
        <v>1904.0241245348</v>
      </c>
      <c r="T49" s="2">
        <f t="shared" si="0"/>
        <v>0</v>
      </c>
      <c r="U49" s="26">
        <v>22.75</v>
      </c>
      <c r="V49" s="9">
        <v>249622.8</v>
      </c>
      <c r="W49" s="9">
        <v>164229.5</v>
      </c>
    </row>
    <row r="50" spans="1:23">
      <c r="A50" s="8" t="s">
        <v>75</v>
      </c>
      <c r="B50" s="7" t="s">
        <v>31</v>
      </c>
      <c r="C50" s="9">
        <v>196000000000</v>
      </c>
      <c r="D50" s="9">
        <v>654500000000</v>
      </c>
      <c r="E50" s="9">
        <v>1088500000000</v>
      </c>
      <c r="F50" s="9">
        <v>229100000000</v>
      </c>
      <c r="G50" s="9">
        <v>234100000000</v>
      </c>
      <c r="H50" s="9">
        <v>56400000000</v>
      </c>
      <c r="I50" s="9">
        <v>60300000000</v>
      </c>
      <c r="J50" s="9">
        <v>0.18191873778534501</v>
      </c>
      <c r="K50" s="9">
        <v>0.32023366967604899</v>
      </c>
      <c r="L50" s="9">
        <v>0.27816775896488999</v>
      </c>
      <c r="M50" s="9">
        <v>0.33513237997536999</v>
      </c>
      <c r="N50" s="9">
        <v>0.222485207100592</v>
      </c>
      <c r="O50" s="9">
        <v>0.228811065332549</v>
      </c>
      <c r="P50" s="9">
        <v>0.22405942966690601</v>
      </c>
      <c r="Q50" s="9">
        <v>0.15874699347070301</v>
      </c>
      <c r="R50" s="9">
        <v>78616000</v>
      </c>
      <c r="S50" s="9">
        <v>1898.1534844847399</v>
      </c>
      <c r="T50" s="2">
        <f t="shared" si="0"/>
        <v>0</v>
      </c>
      <c r="U50" s="25">
        <v>23</v>
      </c>
      <c r="V50" s="10">
        <v>252980.9</v>
      </c>
      <c r="W50" s="10">
        <v>165924.20000000001</v>
      </c>
    </row>
    <row r="51" spans="1:23">
      <c r="A51" s="8" t="s">
        <v>76</v>
      </c>
      <c r="B51" s="7" t="s">
        <v>31</v>
      </c>
      <c r="C51" s="10">
        <v>199200000000</v>
      </c>
      <c r="D51" s="10">
        <v>661200000000</v>
      </c>
      <c r="E51" s="10">
        <v>1091500000000</v>
      </c>
      <c r="F51" s="10">
        <v>231800000000</v>
      </c>
      <c r="G51" s="10">
        <v>227900000000</v>
      </c>
      <c r="H51" s="10">
        <v>57900000000</v>
      </c>
      <c r="I51" s="10">
        <v>61100000000</v>
      </c>
      <c r="J51" s="10">
        <v>0.18455974422629401</v>
      </c>
      <c r="K51" s="10">
        <v>0.32140978432403999</v>
      </c>
      <c r="L51" s="10">
        <v>0.28162475983012197</v>
      </c>
      <c r="M51" s="10">
        <v>0.34724929870954302</v>
      </c>
      <c r="N51" s="10">
        <v>0.224854368932039</v>
      </c>
      <c r="O51" s="10">
        <v>0.23182465008601799</v>
      </c>
      <c r="P51" s="10">
        <v>0.226974700490886</v>
      </c>
      <c r="Q51" s="10">
        <v>0.161129884531651</v>
      </c>
      <c r="R51" s="10">
        <v>78643000</v>
      </c>
      <c r="S51" s="10">
        <v>1894.18784220927</v>
      </c>
      <c r="T51" s="2">
        <f t="shared" si="0"/>
        <v>0</v>
      </c>
      <c r="U51" s="26">
        <v>21.824999999999999</v>
      </c>
      <c r="V51" s="9">
        <v>256514.2</v>
      </c>
      <c r="W51" s="9">
        <v>167953.3</v>
      </c>
    </row>
    <row r="52" spans="1:23">
      <c r="A52" s="8" t="s">
        <v>77</v>
      </c>
      <c r="B52" s="7" t="s">
        <v>31</v>
      </c>
      <c r="C52" s="9">
        <v>205600000000</v>
      </c>
      <c r="D52" s="9">
        <v>680200000000</v>
      </c>
      <c r="E52" s="9">
        <v>1137800000000</v>
      </c>
      <c r="F52" s="9">
        <v>235400000000</v>
      </c>
      <c r="G52" s="9">
        <v>247600000000</v>
      </c>
      <c r="H52" s="9">
        <v>58700000000</v>
      </c>
      <c r="I52" s="9">
        <v>63100000000</v>
      </c>
      <c r="J52" s="9">
        <v>0.18611327742685199</v>
      </c>
      <c r="K52" s="9">
        <v>0.33071278825995798</v>
      </c>
      <c r="L52" s="9">
        <v>0.286524216863766</v>
      </c>
      <c r="M52" s="9">
        <v>0.34095667420195003</v>
      </c>
      <c r="N52" s="9">
        <v>0.23073899371069201</v>
      </c>
      <c r="O52" s="9">
        <v>0.23535982458680699</v>
      </c>
      <c r="P52" s="9">
        <v>0.229108423995419</v>
      </c>
      <c r="Q52" s="9">
        <v>0.166347049087886</v>
      </c>
      <c r="R52" s="9">
        <v>78717333.333333299</v>
      </c>
      <c r="S52" s="9">
        <v>1892.6970968218</v>
      </c>
      <c r="T52" s="2">
        <f t="shared" si="0"/>
        <v>0</v>
      </c>
      <c r="U52" s="25">
        <v>24.524999999999999</v>
      </c>
      <c r="V52" s="10">
        <v>259918.6</v>
      </c>
      <c r="W52" s="10">
        <v>169920.1</v>
      </c>
    </row>
    <row r="53" spans="1:23">
      <c r="A53" s="8" t="s">
        <v>78</v>
      </c>
      <c r="B53" s="7" t="s">
        <v>31</v>
      </c>
      <c r="C53" s="10">
        <v>209600000000</v>
      </c>
      <c r="D53" s="10">
        <v>694300000000</v>
      </c>
      <c r="E53" s="10">
        <v>1159400000000</v>
      </c>
      <c r="F53" s="10">
        <v>244800000000</v>
      </c>
      <c r="G53" s="10">
        <v>255700000000</v>
      </c>
      <c r="H53" s="10">
        <v>63300000000</v>
      </c>
      <c r="I53" s="10">
        <v>63100000000</v>
      </c>
      <c r="J53" s="10">
        <v>0.18782216394746601</v>
      </c>
      <c r="K53" s="10">
        <v>0.33140756302521002</v>
      </c>
      <c r="L53" s="10">
        <v>0.28933498397568602</v>
      </c>
      <c r="M53" s="10">
        <v>0.34171564755399803</v>
      </c>
      <c r="N53" s="10">
        <v>0.23135964912280699</v>
      </c>
      <c r="O53" s="10">
        <v>0.238466443160081</v>
      </c>
      <c r="P53" s="10">
        <v>0.23173458829812099</v>
      </c>
      <c r="Q53" s="10">
        <v>0.169731987217455</v>
      </c>
      <c r="R53" s="10">
        <v>78961000</v>
      </c>
      <c r="S53" s="10">
        <v>1890.7942882529501</v>
      </c>
      <c r="T53" s="2">
        <f t="shared" si="0"/>
        <v>0</v>
      </c>
      <c r="U53" s="26">
        <v>25.25</v>
      </c>
      <c r="V53" s="9">
        <v>263125.8</v>
      </c>
      <c r="W53" s="9">
        <v>171992.2</v>
      </c>
    </row>
    <row r="54" spans="1:23">
      <c r="A54" s="8" t="s">
        <v>79</v>
      </c>
      <c r="B54" s="7" t="s">
        <v>31</v>
      </c>
      <c r="C54" s="9">
        <v>212500000000</v>
      </c>
      <c r="D54" s="9">
        <v>706700000000</v>
      </c>
      <c r="E54" s="9">
        <v>1180300000000</v>
      </c>
      <c r="F54" s="9">
        <v>251100000000</v>
      </c>
      <c r="G54" s="9">
        <v>261200000000</v>
      </c>
      <c r="H54" s="9">
        <v>65500000000</v>
      </c>
      <c r="I54" s="9">
        <v>65400000000</v>
      </c>
      <c r="J54" s="9">
        <v>0.18968640378813501</v>
      </c>
      <c r="K54" s="9">
        <v>0.32980332829046899</v>
      </c>
      <c r="L54" s="9">
        <v>0.292142218468396</v>
      </c>
      <c r="M54" s="9">
        <v>0.34223153019635899</v>
      </c>
      <c r="N54" s="9">
        <v>0.23417947801215599</v>
      </c>
      <c r="O54" s="9">
        <v>0.240877551020408</v>
      </c>
      <c r="P54" s="9">
        <v>0.23400662251655599</v>
      </c>
      <c r="Q54" s="9">
        <v>0.17234004738004999</v>
      </c>
      <c r="R54" s="9">
        <v>79511000</v>
      </c>
      <c r="S54" s="9">
        <v>1889.04855512778</v>
      </c>
      <c r="T54" s="2">
        <f t="shared" si="0"/>
        <v>0</v>
      </c>
      <c r="U54" s="25">
        <v>25.85</v>
      </c>
      <c r="V54" s="10">
        <v>266278.40000000002</v>
      </c>
      <c r="W54" s="10">
        <v>174237.4</v>
      </c>
    </row>
    <row r="55" spans="1:23">
      <c r="A55" s="8" t="s">
        <v>80</v>
      </c>
      <c r="B55" s="7" t="s">
        <v>31</v>
      </c>
      <c r="C55" s="10">
        <v>215500000000</v>
      </c>
      <c r="D55" s="10">
        <v>722900000000</v>
      </c>
      <c r="E55" s="10">
        <v>1193600000000</v>
      </c>
      <c r="F55" s="10">
        <v>257100000000</v>
      </c>
      <c r="G55" s="10">
        <v>256800000000</v>
      </c>
      <c r="H55" s="10">
        <v>61900000000</v>
      </c>
      <c r="I55" s="10">
        <v>60300000000</v>
      </c>
      <c r="J55" s="10">
        <v>0.19108458366863801</v>
      </c>
      <c r="K55" s="10">
        <v>0.33186571271326398</v>
      </c>
      <c r="L55" s="10">
        <v>0.29488061684052003</v>
      </c>
      <c r="M55" s="10">
        <v>0.35472911688804198</v>
      </c>
      <c r="N55" s="10">
        <v>0.23743766781741499</v>
      </c>
      <c r="O55" s="10">
        <v>0.242883014874957</v>
      </c>
      <c r="P55" s="10">
        <v>0.23545697348706901</v>
      </c>
      <c r="Q55" s="10">
        <v>0.174886700264762</v>
      </c>
      <c r="R55" s="10">
        <v>80228666.666666701</v>
      </c>
      <c r="S55" s="10">
        <v>1887.46005979747</v>
      </c>
      <c r="T55" s="2">
        <f t="shared" si="0"/>
        <v>0</v>
      </c>
      <c r="U55" s="26">
        <v>26.824999999999999</v>
      </c>
      <c r="V55" s="9">
        <v>269394.3</v>
      </c>
      <c r="W55" s="9">
        <v>176547.3</v>
      </c>
    </row>
    <row r="56" spans="1:23">
      <c r="A56" s="8" t="s">
        <v>81</v>
      </c>
      <c r="B56" s="7" t="s">
        <v>31</v>
      </c>
      <c r="C56" s="9">
        <v>224200000000</v>
      </c>
      <c r="D56" s="9">
        <v>740100000000</v>
      </c>
      <c r="E56" s="9">
        <v>1233800000000</v>
      </c>
      <c r="F56" s="9">
        <v>269900000000</v>
      </c>
      <c r="G56" s="9">
        <v>273100000000</v>
      </c>
      <c r="H56" s="9">
        <v>72200000000</v>
      </c>
      <c r="I56" s="9">
        <v>68600000000</v>
      </c>
      <c r="J56" s="9">
        <v>0.19263811686919599</v>
      </c>
      <c r="K56" s="9">
        <v>0.34061569016881799</v>
      </c>
      <c r="L56" s="9">
        <v>0.30021396571416797</v>
      </c>
      <c r="M56" s="9">
        <v>0.34985525430238501</v>
      </c>
      <c r="N56" s="9">
        <v>0.24163319946452499</v>
      </c>
      <c r="O56" s="9">
        <v>0.246641612026227</v>
      </c>
      <c r="P56" s="9">
        <v>0.237913077021988</v>
      </c>
      <c r="Q56" s="9">
        <v>0.18021948274681601</v>
      </c>
      <c r="R56" s="9">
        <v>81213333.333333299</v>
      </c>
      <c r="S56" s="9">
        <v>1886.01259665367</v>
      </c>
      <c r="T56" s="2">
        <f t="shared" si="0"/>
        <v>0</v>
      </c>
      <c r="U56" s="25">
        <v>27.675000000000001</v>
      </c>
      <c r="V56" s="10">
        <v>272646.90000000002</v>
      </c>
      <c r="W56" s="10">
        <v>179158</v>
      </c>
    </row>
    <row r="57" spans="1:23">
      <c r="A57" s="8" t="s">
        <v>82</v>
      </c>
      <c r="B57" s="7" t="s">
        <v>31</v>
      </c>
      <c r="C57" s="10">
        <v>227900000000</v>
      </c>
      <c r="D57" s="10">
        <v>758600000000</v>
      </c>
      <c r="E57" s="10">
        <v>1270100000000</v>
      </c>
      <c r="F57" s="10">
        <v>275800000000</v>
      </c>
      <c r="G57" s="10">
        <v>287800000000</v>
      </c>
      <c r="H57" s="10">
        <v>71400000000</v>
      </c>
      <c r="I57" s="10">
        <v>67200000000</v>
      </c>
      <c r="J57" s="10">
        <v>0.19388094342964199</v>
      </c>
      <c r="K57" s="10">
        <v>0.34373401534526898</v>
      </c>
      <c r="L57" s="10">
        <v>0.301873187293071</v>
      </c>
      <c r="M57" s="10">
        <v>0.34780198986415001</v>
      </c>
      <c r="N57" s="10">
        <v>0.247744621790423</v>
      </c>
      <c r="O57" s="10">
        <v>0.248148799406053</v>
      </c>
      <c r="P57" s="10">
        <v>0.23929089647340901</v>
      </c>
      <c r="Q57" s="10">
        <v>0.18215891518844399</v>
      </c>
      <c r="R57" s="10">
        <v>81875000</v>
      </c>
      <c r="S57" s="10">
        <v>1886.0357297107901</v>
      </c>
      <c r="T57" s="2">
        <f t="shared" si="0"/>
        <v>0</v>
      </c>
      <c r="U57" s="26">
        <v>28.524999999999999</v>
      </c>
      <c r="V57" s="9">
        <v>275854.09999999998</v>
      </c>
      <c r="W57" s="9">
        <v>181754.5</v>
      </c>
    </row>
    <row r="58" spans="1:23">
      <c r="A58" s="8" t="s">
        <v>83</v>
      </c>
      <c r="B58" s="7" t="s">
        <v>31</v>
      </c>
      <c r="C58" s="9">
        <v>227100000000</v>
      </c>
      <c r="D58" s="9">
        <v>777100000000</v>
      </c>
      <c r="E58" s="9">
        <v>1293800000000</v>
      </c>
      <c r="F58" s="9">
        <v>278600000000</v>
      </c>
      <c r="G58" s="9">
        <v>292200000000</v>
      </c>
      <c r="H58" s="9">
        <v>74100000000</v>
      </c>
      <c r="I58" s="9">
        <v>71500000000</v>
      </c>
      <c r="J58" s="9">
        <v>0.1954344766302</v>
      </c>
      <c r="K58" s="9">
        <v>0.34474445515911301</v>
      </c>
      <c r="L58" s="9">
        <v>0.30520585694195301</v>
      </c>
      <c r="M58" s="9">
        <v>0.34896655507602498</v>
      </c>
      <c r="N58" s="9">
        <v>0.25186947654656699</v>
      </c>
      <c r="O58" s="9">
        <v>0.25047430983079699</v>
      </c>
      <c r="P58" s="9">
        <v>0.24140287658041101</v>
      </c>
      <c r="Q58" s="9">
        <v>0.18403448280415599</v>
      </c>
      <c r="R58" s="9">
        <v>82450333.333333299</v>
      </c>
      <c r="S58" s="9">
        <v>1887.1579755778801</v>
      </c>
      <c r="T58" s="2">
        <f t="shared" si="0"/>
        <v>0</v>
      </c>
      <c r="U58" s="25">
        <v>29.4</v>
      </c>
      <c r="V58" s="10">
        <v>279040.2</v>
      </c>
      <c r="W58" s="10">
        <v>184287</v>
      </c>
    </row>
    <row r="59" spans="1:23">
      <c r="A59" s="8" t="s">
        <v>84</v>
      </c>
      <c r="B59" s="7" t="s">
        <v>31</v>
      </c>
      <c r="C59" s="10">
        <v>230900000000</v>
      </c>
      <c r="D59" s="10">
        <v>801900000000</v>
      </c>
      <c r="E59" s="10">
        <v>1332000000000</v>
      </c>
      <c r="F59" s="10">
        <v>295000000000</v>
      </c>
      <c r="G59" s="10">
        <v>302300000000</v>
      </c>
      <c r="H59" s="10">
        <v>79200000000</v>
      </c>
      <c r="I59" s="10">
        <v>76100000000</v>
      </c>
      <c r="J59" s="10">
        <v>0.197454069790925</v>
      </c>
      <c r="K59" s="10">
        <v>0.35215178158260102</v>
      </c>
      <c r="L59" s="10">
        <v>0.30830768110075402</v>
      </c>
      <c r="M59" s="10">
        <v>0.35268536284007501</v>
      </c>
      <c r="N59" s="10">
        <v>0.25756097560975599</v>
      </c>
      <c r="O59" s="10">
        <v>0.25365630712979897</v>
      </c>
      <c r="P59" s="10">
        <v>0.243398288107813</v>
      </c>
      <c r="Q59" s="10">
        <v>0.187722960926302</v>
      </c>
      <c r="R59" s="10">
        <v>83002000</v>
      </c>
      <c r="S59" s="10">
        <v>1888.7936980576601</v>
      </c>
      <c r="T59" s="2">
        <f t="shared" si="0"/>
        <v>0</v>
      </c>
      <c r="U59" s="26">
        <v>30.85</v>
      </c>
      <c r="V59" s="9">
        <v>282162.40000000002</v>
      </c>
      <c r="W59" s="9">
        <v>186813</v>
      </c>
    </row>
    <row r="60" spans="1:23">
      <c r="A60" s="8" t="s">
        <v>85</v>
      </c>
      <c r="B60" s="7" t="s">
        <v>31</v>
      </c>
      <c r="C60" s="9">
        <v>235100000000</v>
      </c>
      <c r="D60" s="9">
        <v>826500000000</v>
      </c>
      <c r="E60" s="9">
        <v>1380700000000</v>
      </c>
      <c r="F60" s="9">
        <v>309900000000</v>
      </c>
      <c r="G60" s="9">
        <v>320500000000</v>
      </c>
      <c r="H60" s="9">
        <v>85400000000</v>
      </c>
      <c r="I60" s="9">
        <v>84000000000</v>
      </c>
      <c r="J60" s="9">
        <v>0.20056113619204199</v>
      </c>
      <c r="K60" s="9">
        <v>0.36206896551724099</v>
      </c>
      <c r="L60" s="9">
        <v>0.30992592007908598</v>
      </c>
      <c r="M60" s="9">
        <v>0.345571471834277</v>
      </c>
      <c r="N60" s="9">
        <v>0.265464718682002</v>
      </c>
      <c r="O60" s="9">
        <v>0.256611839048416</v>
      </c>
      <c r="P60" s="9">
        <v>0.24636341957791799</v>
      </c>
      <c r="Q60" s="9">
        <v>0.19109105252012201</v>
      </c>
      <c r="R60" s="9">
        <v>83841666.666666701</v>
      </c>
      <c r="S60" s="9">
        <v>1892.09903850809</v>
      </c>
      <c r="T60" s="2">
        <f t="shared" si="0"/>
        <v>0</v>
      </c>
      <c r="U60" s="25">
        <v>32.950000000000003</v>
      </c>
      <c r="V60" s="10">
        <v>284969</v>
      </c>
      <c r="W60" s="10">
        <v>189228.4</v>
      </c>
    </row>
    <row r="61" spans="1:23">
      <c r="A61" s="8" t="s">
        <v>86</v>
      </c>
      <c r="B61" s="7" t="s">
        <v>31</v>
      </c>
      <c r="C61" s="10">
        <v>239300000000</v>
      </c>
      <c r="D61" s="10">
        <v>842000000000</v>
      </c>
      <c r="E61" s="10">
        <v>1417600000000</v>
      </c>
      <c r="F61" s="10">
        <v>315600000000</v>
      </c>
      <c r="G61" s="10">
        <v>333900000000</v>
      </c>
      <c r="H61" s="10">
        <v>89500000000</v>
      </c>
      <c r="I61" s="10">
        <v>91900000000</v>
      </c>
      <c r="J61" s="10">
        <v>0.20475567583354801</v>
      </c>
      <c r="K61" s="10">
        <v>0.37787828947368401</v>
      </c>
      <c r="L61" s="10">
        <v>0.315396857367229</v>
      </c>
      <c r="M61" s="10">
        <v>0.34395501296874897</v>
      </c>
      <c r="N61" s="10">
        <v>0.28649167733674802</v>
      </c>
      <c r="O61" s="10">
        <v>0.26051640172746499</v>
      </c>
      <c r="P61" s="10">
        <v>0.25108844754577397</v>
      </c>
      <c r="Q61" s="10">
        <v>0.19441621298931999</v>
      </c>
      <c r="R61" s="10">
        <v>84797333.333333299</v>
      </c>
      <c r="S61" s="10">
        <v>1891.22070205507</v>
      </c>
      <c r="T61" s="2">
        <f t="shared" si="0"/>
        <v>0</v>
      </c>
      <c r="U61" s="26">
        <v>32.825000000000003</v>
      </c>
      <c r="V61" s="9">
        <v>287625.2</v>
      </c>
      <c r="W61" s="9">
        <v>191540</v>
      </c>
    </row>
    <row r="62" spans="1:23">
      <c r="A62" s="8" t="s">
        <v>87</v>
      </c>
      <c r="B62" s="7" t="s">
        <v>31</v>
      </c>
      <c r="C62" s="9">
        <v>241000000000</v>
      </c>
      <c r="D62" s="9">
        <v>860500000000</v>
      </c>
      <c r="E62" s="9">
        <v>1436800000000</v>
      </c>
      <c r="F62" s="9">
        <v>319100000000</v>
      </c>
      <c r="G62" s="9">
        <v>328800000000</v>
      </c>
      <c r="H62" s="9">
        <v>91100000000</v>
      </c>
      <c r="I62" s="9">
        <v>97600000000</v>
      </c>
      <c r="J62" s="9">
        <v>0.20879486215499901</v>
      </c>
      <c r="K62" s="9">
        <v>0.4</v>
      </c>
      <c r="L62" s="9">
        <v>0.32188968152388198</v>
      </c>
      <c r="M62" s="9">
        <v>0.35478997311362398</v>
      </c>
      <c r="N62" s="9">
        <v>0.299868334430546</v>
      </c>
      <c r="O62" s="9">
        <v>0.26548901494853899</v>
      </c>
      <c r="P62" s="9">
        <v>0.255697857546133</v>
      </c>
      <c r="Q62" s="9">
        <v>0.197221681021269</v>
      </c>
      <c r="R62" s="9">
        <v>85330333.333333299</v>
      </c>
      <c r="S62" s="9">
        <v>1887.58071335517</v>
      </c>
      <c r="T62" s="2">
        <f t="shared" si="0"/>
        <v>0</v>
      </c>
      <c r="U62" s="25">
        <v>32.700000000000003</v>
      </c>
      <c r="V62" s="10">
        <v>290107.90000000002</v>
      </c>
      <c r="W62" s="10">
        <v>193615.8</v>
      </c>
    </row>
    <row r="63" spans="1:23">
      <c r="A63" s="8" t="s">
        <v>88</v>
      </c>
      <c r="B63" s="7" t="s">
        <v>31</v>
      </c>
      <c r="C63" s="10">
        <v>247500000000</v>
      </c>
      <c r="D63" s="10">
        <v>875600000000</v>
      </c>
      <c r="E63" s="10">
        <v>1479100000000</v>
      </c>
      <c r="F63" s="10">
        <v>322000000000</v>
      </c>
      <c r="G63" s="10">
        <v>347100000000</v>
      </c>
      <c r="H63" s="10">
        <v>98700000000</v>
      </c>
      <c r="I63" s="10">
        <v>107600000000</v>
      </c>
      <c r="J63" s="10">
        <v>0.21407687503689601</v>
      </c>
      <c r="K63" s="10">
        <v>0.42031249999999998</v>
      </c>
      <c r="L63" s="10">
        <v>0.32638015609717902</v>
      </c>
      <c r="M63" s="10">
        <v>0.35631262614148901</v>
      </c>
      <c r="N63" s="10">
        <v>0.32254901960784299</v>
      </c>
      <c r="O63" s="10">
        <v>0.270778412419449</v>
      </c>
      <c r="P63" s="10">
        <v>0.26094471762777499</v>
      </c>
      <c r="Q63" s="10">
        <v>0.201671940759722</v>
      </c>
      <c r="R63" s="10">
        <v>86236000</v>
      </c>
      <c r="S63" s="10">
        <v>1881.09954608167</v>
      </c>
      <c r="T63" s="2">
        <f t="shared" si="0"/>
        <v>0</v>
      </c>
      <c r="U63" s="26">
        <v>32.049999999999997</v>
      </c>
      <c r="V63" s="9">
        <v>292805.3</v>
      </c>
      <c r="W63" s="9">
        <v>195950.2</v>
      </c>
    </row>
    <row r="64" spans="1:23">
      <c r="A64" s="8" t="s">
        <v>89</v>
      </c>
      <c r="B64" s="7" t="s">
        <v>31</v>
      </c>
      <c r="C64" s="9">
        <v>255200000000</v>
      </c>
      <c r="D64" s="9">
        <v>893800000000</v>
      </c>
      <c r="E64" s="9">
        <v>1494700000000</v>
      </c>
      <c r="F64" s="9">
        <v>326800000000</v>
      </c>
      <c r="G64" s="9">
        <v>339300000000</v>
      </c>
      <c r="H64" s="9">
        <v>110300000000</v>
      </c>
      <c r="I64" s="9">
        <v>116700000000</v>
      </c>
      <c r="J64" s="9">
        <v>0.22044636115918401</v>
      </c>
      <c r="K64" s="9">
        <v>0.45023148148148101</v>
      </c>
      <c r="L64" s="9">
        <v>0.335316425335559</v>
      </c>
      <c r="M64" s="9">
        <v>0.36800313331422302</v>
      </c>
      <c r="N64" s="9">
        <v>0.373013189042949</v>
      </c>
      <c r="O64" s="9">
        <v>0.27592763522244801</v>
      </c>
      <c r="P64" s="9">
        <v>0.26871505020744402</v>
      </c>
      <c r="Q64" s="9">
        <v>0.204585363125388</v>
      </c>
      <c r="R64" s="9">
        <v>86709333.333333299</v>
      </c>
      <c r="S64" s="9">
        <v>1870.0390422821999</v>
      </c>
      <c r="T64" s="2">
        <f t="shared" si="0"/>
        <v>0</v>
      </c>
      <c r="U64" s="25">
        <v>31.675000000000001</v>
      </c>
      <c r="V64" s="10">
        <v>295516.59999999998</v>
      </c>
      <c r="W64" s="10">
        <v>198347.8</v>
      </c>
    </row>
    <row r="65" spans="1:23">
      <c r="A65" s="8" t="s">
        <v>90</v>
      </c>
      <c r="B65" s="7" t="s">
        <v>31</v>
      </c>
      <c r="C65" s="10">
        <v>261100000000</v>
      </c>
      <c r="D65" s="10">
        <v>922300000000</v>
      </c>
      <c r="E65" s="10">
        <v>1534200000000</v>
      </c>
      <c r="F65" s="10">
        <v>336100000000</v>
      </c>
      <c r="G65" s="10">
        <v>353500000000</v>
      </c>
      <c r="H65" s="10">
        <v>129400000000</v>
      </c>
      <c r="I65" s="10">
        <v>126700000000</v>
      </c>
      <c r="J65" s="10">
        <v>0.22634978732130501</v>
      </c>
      <c r="K65" s="10">
        <v>0.46615158204562201</v>
      </c>
      <c r="L65" s="10">
        <v>0.345991801984043</v>
      </c>
      <c r="M65" s="10">
        <v>0.37990623719042699</v>
      </c>
      <c r="N65" s="10">
        <v>0.415676196594925</v>
      </c>
      <c r="O65" s="10">
        <v>0.28247380921694598</v>
      </c>
      <c r="P65" s="10">
        <v>0.276311453308967</v>
      </c>
      <c r="Q65" s="10">
        <v>0.20973588609084201</v>
      </c>
      <c r="R65" s="10">
        <v>86833666.666666701</v>
      </c>
      <c r="S65" s="10">
        <v>1860.74332503762</v>
      </c>
      <c r="T65" s="2">
        <f t="shared" si="0"/>
        <v>0</v>
      </c>
      <c r="U65" s="26">
        <v>32.65</v>
      </c>
      <c r="V65" s="9">
        <v>298379.90000000002</v>
      </c>
      <c r="W65" s="9">
        <v>200699.1</v>
      </c>
    </row>
    <row r="66" spans="1:23">
      <c r="A66" s="8" t="s">
        <v>91</v>
      </c>
      <c r="B66" s="7" t="s">
        <v>31</v>
      </c>
      <c r="C66" s="9">
        <v>270200000000</v>
      </c>
      <c r="D66" s="9">
        <v>951100000000</v>
      </c>
      <c r="E66" s="9">
        <v>1563400000000</v>
      </c>
      <c r="F66" s="9">
        <v>343500000000</v>
      </c>
      <c r="G66" s="9">
        <v>349100000000</v>
      </c>
      <c r="H66" s="9">
        <v>133600000000</v>
      </c>
      <c r="I66" s="9">
        <v>126600000000</v>
      </c>
      <c r="J66" s="9">
        <v>0.232719273443593</v>
      </c>
      <c r="K66" s="9">
        <v>0.49222395023328103</v>
      </c>
      <c r="L66" s="9">
        <v>0.36049793150646797</v>
      </c>
      <c r="M66" s="9">
        <v>0.40555246746489498</v>
      </c>
      <c r="N66" s="9">
        <v>0.43674403399803902</v>
      </c>
      <c r="O66" s="9">
        <v>0.29066503058359799</v>
      </c>
      <c r="P66" s="9">
        <v>0.283774913474162</v>
      </c>
      <c r="Q66" s="9">
        <v>0.21541755583387001</v>
      </c>
      <c r="R66" s="9">
        <v>87079000</v>
      </c>
      <c r="S66" s="9">
        <v>1852.09998831913</v>
      </c>
      <c r="T66" s="2">
        <f t="shared" si="0"/>
        <v>0</v>
      </c>
      <c r="U66" s="25">
        <v>34.075000000000003</v>
      </c>
      <c r="V66" s="10">
        <v>301231.2</v>
      </c>
      <c r="W66" s="10">
        <v>202723.9</v>
      </c>
    </row>
    <row r="67" spans="1:23">
      <c r="A67" s="8" t="s">
        <v>92</v>
      </c>
      <c r="B67" s="7" t="s">
        <v>31</v>
      </c>
      <c r="C67" s="10">
        <v>281300000000</v>
      </c>
      <c r="D67" s="10">
        <v>960900000000</v>
      </c>
      <c r="E67" s="10">
        <v>1603000000000</v>
      </c>
      <c r="F67" s="10">
        <v>340300000000</v>
      </c>
      <c r="G67" s="10">
        <v>360800000000</v>
      </c>
      <c r="H67" s="10">
        <v>136600000000</v>
      </c>
      <c r="I67" s="10">
        <v>136600000000</v>
      </c>
      <c r="J67" s="10">
        <v>0.23986552616616</v>
      </c>
      <c r="K67" s="10">
        <v>0.51762031072375903</v>
      </c>
      <c r="L67" s="10">
        <v>0.37551781707924903</v>
      </c>
      <c r="M67" s="10">
        <v>0.41503724562113098</v>
      </c>
      <c r="N67" s="10">
        <v>0.45112285336856001</v>
      </c>
      <c r="O67" s="10">
        <v>0.299223474949601</v>
      </c>
      <c r="P67" s="10">
        <v>0.29096139288417899</v>
      </c>
      <c r="Q67" s="10">
        <v>0.22255122243731901</v>
      </c>
      <c r="R67" s="10">
        <v>86588333.333333299</v>
      </c>
      <c r="S67" s="10">
        <v>1845.11764436105</v>
      </c>
      <c r="T67" s="2">
        <f t="shared" si="0"/>
        <v>0</v>
      </c>
      <c r="U67" s="26">
        <v>31.774999999999999</v>
      </c>
      <c r="V67" s="9">
        <v>304094</v>
      </c>
      <c r="W67" s="9">
        <v>204409</v>
      </c>
    </row>
    <row r="68" spans="1:23">
      <c r="A68" s="8" t="s">
        <v>93</v>
      </c>
      <c r="B68" s="7" t="s">
        <v>31</v>
      </c>
      <c r="C68" s="9">
        <v>288600000000</v>
      </c>
      <c r="D68" s="9">
        <v>987100000000</v>
      </c>
      <c r="E68" s="9">
        <v>1619600000000</v>
      </c>
      <c r="F68" s="9">
        <v>337400000000</v>
      </c>
      <c r="G68" s="9">
        <v>327400000000</v>
      </c>
      <c r="H68" s="9">
        <v>124900000000</v>
      </c>
      <c r="I68" s="9">
        <v>141400000000</v>
      </c>
      <c r="J68" s="9">
        <v>0.24499218572800099</v>
      </c>
      <c r="K68" s="9">
        <v>0.53197893152746401</v>
      </c>
      <c r="L68" s="9">
        <v>0.388286632561755</v>
      </c>
      <c r="M68" s="9">
        <v>0.44838423298272001</v>
      </c>
      <c r="N68" s="9">
        <v>0.45851688693098402</v>
      </c>
      <c r="O68" s="9">
        <v>0.30602373214420697</v>
      </c>
      <c r="P68" s="9">
        <v>0.296417524999249</v>
      </c>
      <c r="Q68" s="9">
        <v>0.226874865603968</v>
      </c>
      <c r="R68" s="9">
        <v>85356666.666666701</v>
      </c>
      <c r="S68" s="9">
        <v>1840.1347301419501</v>
      </c>
      <c r="T68" s="2">
        <f t="shared" si="0"/>
        <v>0</v>
      </c>
      <c r="U68" s="25">
        <v>32.950000000000003</v>
      </c>
      <c r="V68" s="10">
        <v>306771.5</v>
      </c>
      <c r="W68" s="10">
        <v>206060.79999999999</v>
      </c>
    </row>
    <row r="69" spans="1:23">
      <c r="A69" s="8" t="s">
        <v>94</v>
      </c>
      <c r="B69" s="7" t="s">
        <v>31</v>
      </c>
      <c r="C69" s="10">
        <v>296600000000</v>
      </c>
      <c r="D69" s="10">
        <v>1015800000000</v>
      </c>
      <c r="E69" s="10">
        <v>1656400000000</v>
      </c>
      <c r="F69" s="10">
        <v>336500000000</v>
      </c>
      <c r="G69" s="10">
        <v>322400000000</v>
      </c>
      <c r="H69" s="10">
        <v>115200000000</v>
      </c>
      <c r="I69" s="10">
        <v>136800000000</v>
      </c>
      <c r="J69" s="10">
        <v>0.24794389880906101</v>
      </c>
      <c r="K69" s="10">
        <v>0.53023255813953496</v>
      </c>
      <c r="L69" s="10">
        <v>0.39870728274274603</v>
      </c>
      <c r="M69" s="10">
        <v>0.46827672177568502</v>
      </c>
      <c r="N69" s="10">
        <v>0.45969672785315202</v>
      </c>
      <c r="O69" s="10">
        <v>0.31058276456911399</v>
      </c>
      <c r="P69" s="10">
        <v>0.300026582390643</v>
      </c>
      <c r="Q69" s="10">
        <v>0.231166418987132</v>
      </c>
      <c r="R69" s="10">
        <v>85331666.666666701</v>
      </c>
      <c r="S69" s="10">
        <v>1837.12357422483</v>
      </c>
      <c r="T69" s="2">
        <f t="shared" si="0"/>
        <v>0</v>
      </c>
      <c r="U69" s="26">
        <v>34.174999999999997</v>
      </c>
      <c r="V69" s="9">
        <v>309347.09999999998</v>
      </c>
      <c r="W69" s="9">
        <v>207665.3</v>
      </c>
    </row>
    <row r="70" spans="1:23">
      <c r="A70" s="8" t="s">
        <v>95</v>
      </c>
      <c r="B70" s="7" t="s">
        <v>31</v>
      </c>
      <c r="C70" s="9">
        <v>301600000000</v>
      </c>
      <c r="D70" s="9">
        <v>1049600000000</v>
      </c>
      <c r="E70" s="9">
        <v>1713800000000</v>
      </c>
      <c r="F70" s="9">
        <v>352000000000</v>
      </c>
      <c r="G70" s="9">
        <v>350600000000</v>
      </c>
      <c r="H70" s="9">
        <v>122100000000</v>
      </c>
      <c r="I70" s="9">
        <v>134100000000</v>
      </c>
      <c r="J70" s="9">
        <v>0.25291520505084703</v>
      </c>
      <c r="K70" s="9">
        <v>0.52857705951911704</v>
      </c>
      <c r="L70" s="9">
        <v>0.40138403654800098</v>
      </c>
      <c r="M70" s="9">
        <v>0.46567889116057798</v>
      </c>
      <c r="N70" s="9">
        <v>0.44972375690607702</v>
      </c>
      <c r="O70" s="9">
        <v>0.31611760799793398</v>
      </c>
      <c r="P70" s="9">
        <v>0.30564048804635902</v>
      </c>
      <c r="Q70" s="9">
        <v>0.23441600029484799</v>
      </c>
      <c r="R70" s="9">
        <v>86135666.666666701</v>
      </c>
      <c r="S70" s="9">
        <v>1835.5991747053099</v>
      </c>
      <c r="T70" s="2">
        <f t="shared" si="0"/>
        <v>0</v>
      </c>
      <c r="U70" s="25">
        <v>36.700000000000003</v>
      </c>
      <c r="V70" s="10">
        <v>311721.59999999998</v>
      </c>
      <c r="W70" s="10">
        <v>209179.2</v>
      </c>
    </row>
    <row r="71" spans="1:23">
      <c r="A71" s="8" t="s">
        <v>96</v>
      </c>
      <c r="B71" s="7" t="s">
        <v>31</v>
      </c>
      <c r="C71" s="10">
        <v>307400000000</v>
      </c>
      <c r="D71" s="10">
        <v>1078500000000</v>
      </c>
      <c r="E71" s="10">
        <v>1765900000000</v>
      </c>
      <c r="F71" s="10">
        <v>365800000000</v>
      </c>
      <c r="G71" s="10">
        <v>366200000000</v>
      </c>
      <c r="H71" s="10">
        <v>128700000000</v>
      </c>
      <c r="I71" s="10">
        <v>142500000000</v>
      </c>
      <c r="J71" s="10">
        <v>0.257575804652521</v>
      </c>
      <c r="K71" s="10">
        <v>0.53171641791044799</v>
      </c>
      <c r="L71" s="10">
        <v>0.40679072373344699</v>
      </c>
      <c r="M71" s="10">
        <v>0.46233323160053003</v>
      </c>
      <c r="N71" s="10">
        <v>0.45</v>
      </c>
      <c r="O71" s="10">
        <v>0.321399970879441</v>
      </c>
      <c r="P71" s="10">
        <v>0.31076213802045799</v>
      </c>
      <c r="Q71" s="10">
        <v>0.239035553812842</v>
      </c>
      <c r="R71" s="10">
        <v>86497000</v>
      </c>
      <c r="S71" s="10">
        <v>1835.1425209279</v>
      </c>
      <c r="T71" s="2">
        <f t="shared" si="0"/>
        <v>0</v>
      </c>
      <c r="U71" s="26">
        <v>38.35</v>
      </c>
      <c r="V71" s="9">
        <v>314112.09999999998</v>
      </c>
      <c r="W71" s="9">
        <v>209823</v>
      </c>
    </row>
    <row r="72" spans="1:23">
      <c r="A72" s="8" t="s">
        <v>97</v>
      </c>
      <c r="B72" s="7" t="s">
        <v>31</v>
      </c>
      <c r="C72" s="9">
        <v>310000000000</v>
      </c>
      <c r="D72" s="9">
        <v>1112300000000</v>
      </c>
      <c r="E72" s="9">
        <v>1824500000000</v>
      </c>
      <c r="F72" s="9">
        <v>382900000000</v>
      </c>
      <c r="G72" s="9">
        <v>397500000000</v>
      </c>
      <c r="H72" s="9">
        <v>138900000000</v>
      </c>
      <c r="I72" s="9">
        <v>143600000000</v>
      </c>
      <c r="J72" s="9">
        <v>0.26052751773358102</v>
      </c>
      <c r="K72" s="9">
        <v>0.53944402704733296</v>
      </c>
      <c r="L72" s="9">
        <v>0.41000788709402702</v>
      </c>
      <c r="M72" s="9">
        <v>0.454589944310895</v>
      </c>
      <c r="N72" s="9">
        <v>0.45705824284303997</v>
      </c>
      <c r="O72" s="9">
        <v>0.32473080003559701</v>
      </c>
      <c r="P72" s="9">
        <v>0.31421791576033198</v>
      </c>
      <c r="Q72" s="9">
        <v>0.24184428995361801</v>
      </c>
      <c r="R72" s="9">
        <v>87685666.666666701</v>
      </c>
      <c r="S72" s="9">
        <v>1836.0853834152001</v>
      </c>
      <c r="T72" s="2">
        <f t="shared" si="0"/>
        <v>0</v>
      </c>
      <c r="U72" s="25">
        <v>40.825000000000003</v>
      </c>
      <c r="V72" s="10">
        <v>316498</v>
      </c>
      <c r="W72" s="10">
        <v>210673.5</v>
      </c>
    </row>
    <row r="73" spans="1:23">
      <c r="A73" s="8" t="s">
        <v>98</v>
      </c>
      <c r="B73" s="7" t="s">
        <v>31</v>
      </c>
      <c r="C73" s="10">
        <v>314100000000</v>
      </c>
      <c r="D73" s="10">
        <v>1132000000000</v>
      </c>
      <c r="E73" s="10">
        <v>1856900000000</v>
      </c>
      <c r="F73" s="10">
        <v>388800000000</v>
      </c>
      <c r="G73" s="10">
        <v>411300000000</v>
      </c>
      <c r="H73" s="10">
        <v>147100000000</v>
      </c>
      <c r="I73" s="10">
        <v>146600000000</v>
      </c>
      <c r="J73" s="10">
        <v>0.262857817534418</v>
      </c>
      <c r="K73" s="10">
        <v>0.54518408330234303</v>
      </c>
      <c r="L73" s="10">
        <v>0.41742914193952502</v>
      </c>
      <c r="M73" s="10">
        <v>0.46160173520175202</v>
      </c>
      <c r="N73" s="10">
        <v>0.46389151687164898</v>
      </c>
      <c r="O73" s="10">
        <v>0.328016251545663</v>
      </c>
      <c r="P73" s="10">
        <v>0.31687381032359202</v>
      </c>
      <c r="Q73" s="10">
        <v>0.24415805981929001</v>
      </c>
      <c r="R73" s="10">
        <v>88591000</v>
      </c>
      <c r="S73" s="10">
        <v>1837.09551155636</v>
      </c>
      <c r="T73" s="2">
        <f t="shared" ref="T73:T136" si="1">E73-(C73+D73+G73+I73-H73)</f>
        <v>0</v>
      </c>
      <c r="U73" s="26">
        <v>41.475000000000001</v>
      </c>
      <c r="V73" s="9">
        <v>318857</v>
      </c>
      <c r="W73" s="9">
        <v>211545.9</v>
      </c>
    </row>
    <row r="74" spans="1:23">
      <c r="A74" s="8" t="s">
        <v>99</v>
      </c>
      <c r="B74" s="7" t="s">
        <v>31</v>
      </c>
      <c r="C74" s="9">
        <v>316200000000</v>
      </c>
      <c r="D74" s="9">
        <v>1161300000000</v>
      </c>
      <c r="E74" s="9">
        <v>1890500000000</v>
      </c>
      <c r="F74" s="9">
        <v>396200000000</v>
      </c>
      <c r="G74" s="9">
        <v>417000000000</v>
      </c>
      <c r="H74" s="9">
        <v>155800000000</v>
      </c>
      <c r="I74" s="9">
        <v>151800000000</v>
      </c>
      <c r="J74" s="9">
        <v>0.26705235717592501</v>
      </c>
      <c r="K74" s="9">
        <v>0.54860860137332901</v>
      </c>
      <c r="L74" s="9">
        <v>0.42312175429975202</v>
      </c>
      <c r="M74" s="9">
        <v>0.467952417349906</v>
      </c>
      <c r="N74" s="9">
        <v>0.472121212121212</v>
      </c>
      <c r="O74" s="9">
        <v>0.33226123941087599</v>
      </c>
      <c r="P74" s="9">
        <v>0.32166301969365402</v>
      </c>
      <c r="Q74" s="9">
        <v>0.246573284416092</v>
      </c>
      <c r="R74" s="9">
        <v>89163000</v>
      </c>
      <c r="S74" s="9">
        <v>1838.59001891258</v>
      </c>
      <c r="T74" s="2">
        <f t="shared" si="1"/>
        <v>0</v>
      </c>
      <c r="U74" s="25">
        <v>42.45</v>
      </c>
    </row>
    <row r="75" spans="1:23">
      <c r="A75" s="8" t="s">
        <v>100</v>
      </c>
      <c r="B75" s="7" t="s">
        <v>31</v>
      </c>
      <c r="C75" s="10">
        <v>324400000000</v>
      </c>
      <c r="D75" s="10">
        <v>1195100000000</v>
      </c>
      <c r="E75" s="10">
        <v>1938400000000</v>
      </c>
      <c r="F75" s="10">
        <v>415000000000</v>
      </c>
      <c r="G75" s="10">
        <v>425500000000</v>
      </c>
      <c r="H75" s="10">
        <v>162700000000</v>
      </c>
      <c r="I75" s="10">
        <v>156100000000</v>
      </c>
      <c r="J75" s="10">
        <v>0.27093619017732001</v>
      </c>
      <c r="K75" s="10">
        <v>0.55849731663685198</v>
      </c>
      <c r="L75" s="10">
        <v>0.42793478604054203</v>
      </c>
      <c r="M75" s="10">
        <v>0.47904912705450697</v>
      </c>
      <c r="N75" s="10">
        <v>0.47726606042827802</v>
      </c>
      <c r="O75" s="10">
        <v>0.338142171827301</v>
      </c>
      <c r="P75" s="10">
        <v>0.32675324675324702</v>
      </c>
      <c r="Q75" s="10">
        <v>0.25171807347569902</v>
      </c>
      <c r="R75" s="10">
        <v>89570333.333333299</v>
      </c>
      <c r="S75" s="10">
        <v>1840.2290861158499</v>
      </c>
      <c r="T75" s="2">
        <f t="shared" si="1"/>
        <v>0</v>
      </c>
      <c r="U75" s="26">
        <v>43.875</v>
      </c>
    </row>
    <row r="76" spans="1:23">
      <c r="A76" s="8" t="s">
        <v>101</v>
      </c>
      <c r="B76" s="7" t="s">
        <v>31</v>
      </c>
      <c r="C76" s="9">
        <v>331300000000</v>
      </c>
      <c r="D76" s="9">
        <v>1230600000000</v>
      </c>
      <c r="E76" s="9">
        <v>1992500000000</v>
      </c>
      <c r="F76" s="9">
        <v>437000000000</v>
      </c>
      <c r="G76" s="9">
        <v>451600000000</v>
      </c>
      <c r="H76" s="9">
        <v>176400000000</v>
      </c>
      <c r="I76" s="9">
        <v>155400000000</v>
      </c>
      <c r="J76" s="9">
        <v>0.275907496419106</v>
      </c>
      <c r="K76" s="9">
        <v>0.56509090909090898</v>
      </c>
      <c r="L76" s="9">
        <v>0.43544135293341102</v>
      </c>
      <c r="M76" s="9">
        <v>0.48653554679640498</v>
      </c>
      <c r="N76" s="9">
        <v>0.49397927751330201</v>
      </c>
      <c r="O76" s="9">
        <v>0.34358187336184298</v>
      </c>
      <c r="P76" s="9">
        <v>0.332657529802936</v>
      </c>
      <c r="Q76" s="9">
        <v>0.25559493369376302</v>
      </c>
      <c r="R76" s="9">
        <v>90359333.333333299</v>
      </c>
      <c r="S76" s="9">
        <v>1842.3683136202001</v>
      </c>
      <c r="T76" s="2">
        <f t="shared" si="1"/>
        <v>0</v>
      </c>
      <c r="U76" s="25">
        <v>45.975000000000001</v>
      </c>
    </row>
    <row r="77" spans="1:23">
      <c r="A77" s="8" t="s">
        <v>102</v>
      </c>
      <c r="B77" s="7" t="s">
        <v>31</v>
      </c>
      <c r="C77" s="10">
        <v>338800000000</v>
      </c>
      <c r="D77" s="10">
        <v>1258500000000</v>
      </c>
      <c r="E77" s="10">
        <v>2060200000000</v>
      </c>
      <c r="F77" s="10">
        <v>464500000000</v>
      </c>
      <c r="G77" s="10">
        <v>484000000000</v>
      </c>
      <c r="H77" s="10">
        <v>183000000000</v>
      </c>
      <c r="I77" s="10">
        <v>161900000000</v>
      </c>
      <c r="J77" s="10">
        <v>0.28072344934083598</v>
      </c>
      <c r="K77" s="10">
        <v>0.57330028328611904</v>
      </c>
      <c r="L77" s="10">
        <v>0.44102900560153402</v>
      </c>
      <c r="M77" s="10">
        <v>0.47895958251825899</v>
      </c>
      <c r="N77" s="10">
        <v>0.50791007493755203</v>
      </c>
      <c r="O77" s="10">
        <v>0.34841873837307602</v>
      </c>
      <c r="P77" s="10">
        <v>0.33833373659166099</v>
      </c>
      <c r="Q77" s="10">
        <v>0.25925474011714</v>
      </c>
      <c r="R77" s="10">
        <v>91661333.333333299</v>
      </c>
      <c r="S77" s="10">
        <v>1842.8249272125699</v>
      </c>
      <c r="T77" s="2">
        <f t="shared" si="1"/>
        <v>0</v>
      </c>
      <c r="U77" s="26">
        <v>47.3</v>
      </c>
    </row>
    <row r="78" spans="1:23">
      <c r="A78" s="8" t="s">
        <v>103</v>
      </c>
      <c r="B78" s="7" t="s">
        <v>31</v>
      </c>
      <c r="C78" s="9">
        <v>345500000000</v>
      </c>
      <c r="D78" s="9">
        <v>1289700000000</v>
      </c>
      <c r="E78" s="9">
        <v>2122400000000</v>
      </c>
      <c r="F78" s="9">
        <v>476900000000</v>
      </c>
      <c r="G78" s="9">
        <v>507800000000</v>
      </c>
      <c r="H78" s="9">
        <v>182900000000</v>
      </c>
      <c r="I78" s="9">
        <v>162300000000</v>
      </c>
      <c r="J78" s="9">
        <v>0.28460728234223098</v>
      </c>
      <c r="K78" s="9">
        <v>0.570274068868587</v>
      </c>
      <c r="L78" s="9">
        <v>0.45019425513888101</v>
      </c>
      <c r="M78" s="9">
        <v>0.47703263135259499</v>
      </c>
      <c r="N78" s="9">
        <v>0.51477624542639999</v>
      </c>
      <c r="O78" s="9">
        <v>0.35269875033235798</v>
      </c>
      <c r="P78" s="9">
        <v>0.34344375798892202</v>
      </c>
      <c r="Q78" s="9">
        <v>0.26229606591473897</v>
      </c>
      <c r="R78" s="9">
        <v>92409000</v>
      </c>
      <c r="S78" s="9">
        <v>1842.1969468750201</v>
      </c>
      <c r="T78" s="2">
        <f t="shared" si="1"/>
        <v>0</v>
      </c>
      <c r="U78" s="25">
        <v>48.5</v>
      </c>
    </row>
    <row r="79" spans="1:23">
      <c r="A79" s="8" t="s">
        <v>104</v>
      </c>
      <c r="B79" s="7" t="s">
        <v>31</v>
      </c>
      <c r="C79" s="10">
        <v>354800000000</v>
      </c>
      <c r="D79" s="10">
        <v>1327900000000</v>
      </c>
      <c r="E79" s="10">
        <v>2168700000000</v>
      </c>
      <c r="F79" s="10">
        <v>491400000000</v>
      </c>
      <c r="G79" s="10">
        <v>515600000000</v>
      </c>
      <c r="H79" s="10">
        <v>187400000000</v>
      </c>
      <c r="I79" s="10">
        <v>157800000000</v>
      </c>
      <c r="J79" s="10">
        <v>0.28880182198373799</v>
      </c>
      <c r="K79" s="10">
        <v>0.57277676950998202</v>
      </c>
      <c r="L79" s="10">
        <v>0.45907158196174302</v>
      </c>
      <c r="M79" s="10">
        <v>0.50641409138718396</v>
      </c>
      <c r="N79" s="10">
        <v>0.51997780244173097</v>
      </c>
      <c r="O79" s="10">
        <v>0.36035691735070302</v>
      </c>
      <c r="P79" s="10">
        <v>0.348365601553072</v>
      </c>
      <c r="Q79" s="10">
        <v>0.26885812810815701</v>
      </c>
      <c r="R79" s="10">
        <v>93639333.333333299</v>
      </c>
      <c r="S79" s="10">
        <v>1840.6098122922101</v>
      </c>
      <c r="T79" s="2">
        <f t="shared" si="1"/>
        <v>0</v>
      </c>
      <c r="U79" s="26">
        <v>50.174999999999997</v>
      </c>
    </row>
    <row r="80" spans="1:23">
      <c r="A80" s="8" t="s">
        <v>105</v>
      </c>
      <c r="B80" s="7" t="s">
        <v>31</v>
      </c>
      <c r="C80" s="9">
        <v>361200000000</v>
      </c>
      <c r="D80" s="9">
        <v>1357800000000</v>
      </c>
      <c r="E80" s="9">
        <v>2208700000000</v>
      </c>
      <c r="F80" s="9">
        <v>503000000000</v>
      </c>
      <c r="G80" s="9">
        <v>528400000000</v>
      </c>
      <c r="H80" s="9">
        <v>203300000000</v>
      </c>
      <c r="I80" s="9">
        <v>164600000000</v>
      </c>
      <c r="J80" s="9">
        <v>0.29377312822552298</v>
      </c>
      <c r="K80" s="9">
        <v>0.58389499822632096</v>
      </c>
      <c r="L80" s="9">
        <v>0.46776701931374298</v>
      </c>
      <c r="M80" s="9">
        <v>0.51365079247956302</v>
      </c>
      <c r="N80" s="9">
        <v>0.528738621586476</v>
      </c>
      <c r="O80" s="9">
        <v>0.36572724864220402</v>
      </c>
      <c r="P80" s="9">
        <v>0.354165579842454</v>
      </c>
      <c r="Q80" s="9">
        <v>0.272344236093225</v>
      </c>
      <c r="R80" s="9">
        <v>94552666.666666701</v>
      </c>
      <c r="S80" s="9">
        <v>1837.5952018590799</v>
      </c>
      <c r="T80" s="2">
        <f t="shared" si="1"/>
        <v>0</v>
      </c>
      <c r="U80" s="25">
        <v>49.55</v>
      </c>
    </row>
    <row r="81" spans="1:21">
      <c r="A81" s="8" t="s">
        <v>106</v>
      </c>
      <c r="B81" s="7" t="s">
        <v>31</v>
      </c>
      <c r="C81" s="10">
        <v>368300000000</v>
      </c>
      <c r="D81" s="10">
        <v>1415300000000</v>
      </c>
      <c r="E81" s="10">
        <v>2336600000000</v>
      </c>
      <c r="F81" s="10">
        <v>551300000000</v>
      </c>
      <c r="G81" s="10">
        <v>575600000000</v>
      </c>
      <c r="H81" s="10">
        <v>208800000000</v>
      </c>
      <c r="I81" s="10">
        <v>186200000000</v>
      </c>
      <c r="J81" s="10">
        <v>0.30045332098792299</v>
      </c>
      <c r="K81" s="10">
        <v>0.59813684548666901</v>
      </c>
      <c r="L81" s="10">
        <v>0.47334813458759001</v>
      </c>
      <c r="M81" s="10">
        <v>0.50016391563942197</v>
      </c>
      <c r="N81" s="10">
        <v>0.541213063763608</v>
      </c>
      <c r="O81" s="10">
        <v>0.37242588460312398</v>
      </c>
      <c r="P81" s="10">
        <v>0.36145162937991598</v>
      </c>
      <c r="Q81" s="10">
        <v>0.27595650495553198</v>
      </c>
      <c r="R81" s="10">
        <v>95835333.333333299</v>
      </c>
      <c r="S81" s="10">
        <v>1835.5743999562401</v>
      </c>
      <c r="T81" s="2">
        <f t="shared" si="1"/>
        <v>0</v>
      </c>
      <c r="U81" s="26">
        <v>54.05</v>
      </c>
    </row>
    <row r="82" spans="1:21">
      <c r="A82" s="8" t="s">
        <v>107</v>
      </c>
      <c r="B82" s="7" t="s">
        <v>31</v>
      </c>
      <c r="C82" s="9">
        <v>374300000000</v>
      </c>
      <c r="D82" s="9">
        <v>1446200000000</v>
      </c>
      <c r="E82" s="9">
        <v>2398900000000</v>
      </c>
      <c r="F82" s="9">
        <v>577100000000</v>
      </c>
      <c r="G82" s="9">
        <v>602200000000</v>
      </c>
      <c r="H82" s="9">
        <v>215100000000</v>
      </c>
      <c r="I82" s="9">
        <v>191300000000</v>
      </c>
      <c r="J82" s="9">
        <v>0.30744422039043401</v>
      </c>
      <c r="K82" s="9">
        <v>0.60788052113123603</v>
      </c>
      <c r="L82" s="9">
        <v>0.48166361693924997</v>
      </c>
      <c r="M82" s="9">
        <v>0.50402357158167499</v>
      </c>
      <c r="N82" s="9">
        <v>0.55040941658137199</v>
      </c>
      <c r="O82" s="9">
        <v>0.37865610152636803</v>
      </c>
      <c r="P82" s="9">
        <v>0.36780264496439502</v>
      </c>
      <c r="Q82" s="9">
        <v>0.27950032541090097</v>
      </c>
      <c r="R82" s="9">
        <v>96397000</v>
      </c>
      <c r="S82" s="9">
        <v>1833.99504556395</v>
      </c>
      <c r="T82" s="2">
        <f t="shared" si="1"/>
        <v>0</v>
      </c>
      <c r="U82" s="25">
        <v>54.174999999999997</v>
      </c>
    </row>
    <row r="83" spans="1:21">
      <c r="A83" s="8" t="s">
        <v>108</v>
      </c>
      <c r="B83" s="7" t="s">
        <v>31</v>
      </c>
      <c r="C83" s="10">
        <v>383400000000</v>
      </c>
      <c r="D83" s="10">
        <v>1485400000000</v>
      </c>
      <c r="E83" s="10">
        <v>2482200000000</v>
      </c>
      <c r="F83" s="10">
        <v>601100000000</v>
      </c>
      <c r="G83" s="10">
        <v>629800000000</v>
      </c>
      <c r="H83" s="10">
        <v>221800000000</v>
      </c>
      <c r="I83" s="10">
        <v>205400000000</v>
      </c>
      <c r="J83" s="10">
        <v>0.31459047311300098</v>
      </c>
      <c r="K83" s="10">
        <v>0.62775061124694398</v>
      </c>
      <c r="L83" s="10">
        <v>0.490705734551171</v>
      </c>
      <c r="M83" s="10">
        <v>0.50928735993132601</v>
      </c>
      <c r="N83" s="10">
        <v>0.55981827359919201</v>
      </c>
      <c r="O83" s="10">
        <v>0.38661744778281398</v>
      </c>
      <c r="P83" s="10">
        <v>0.37476977418947899</v>
      </c>
      <c r="Q83" s="10">
        <v>0.28491979344408103</v>
      </c>
      <c r="R83" s="10">
        <v>97399666.666666701</v>
      </c>
      <c r="S83" s="10">
        <v>1832.83535262074</v>
      </c>
      <c r="T83" s="2">
        <f t="shared" si="1"/>
        <v>0</v>
      </c>
      <c r="U83" s="26">
        <v>55.575000000000003</v>
      </c>
    </row>
    <row r="84" spans="1:21">
      <c r="A84" s="8" t="s">
        <v>109</v>
      </c>
      <c r="B84" s="7" t="s">
        <v>31</v>
      </c>
      <c r="C84" s="9">
        <v>393100000000</v>
      </c>
      <c r="D84" s="9">
        <v>1521000000000</v>
      </c>
      <c r="E84" s="9">
        <v>2531600000000</v>
      </c>
      <c r="F84" s="9">
        <v>611800000000</v>
      </c>
      <c r="G84" s="9">
        <v>635600000000</v>
      </c>
      <c r="H84" s="9">
        <v>229800000000</v>
      </c>
      <c r="I84" s="9">
        <v>211700000000</v>
      </c>
      <c r="J84" s="9">
        <v>0.32251349243584698</v>
      </c>
      <c r="K84" s="9">
        <v>0.64641221374045799</v>
      </c>
      <c r="L84" s="9">
        <v>0.50231340138771796</v>
      </c>
      <c r="M84" s="9">
        <v>0.52125136235465597</v>
      </c>
      <c r="N84" s="9">
        <v>0.58162490508732001</v>
      </c>
      <c r="O84" s="9">
        <v>0.39353334369656501</v>
      </c>
      <c r="P84" s="9">
        <v>0.38181544331760198</v>
      </c>
      <c r="Q84" s="9">
        <v>0.290472891623478</v>
      </c>
      <c r="R84" s="9">
        <v>98252333.333333299</v>
      </c>
      <c r="S84" s="9">
        <v>1832.6113533780699</v>
      </c>
      <c r="T84" s="2">
        <f t="shared" si="1"/>
        <v>0</v>
      </c>
      <c r="U84" s="25">
        <v>55.825000000000003</v>
      </c>
    </row>
    <row r="85" spans="1:21">
      <c r="A85" s="8" t="s">
        <v>110</v>
      </c>
      <c r="B85" s="7" t="s">
        <v>31</v>
      </c>
      <c r="C85" s="10">
        <v>400200000000</v>
      </c>
      <c r="D85" s="10">
        <v>1561500000000</v>
      </c>
      <c r="E85" s="10">
        <v>2595900000000</v>
      </c>
      <c r="F85" s="10">
        <v>628800000000</v>
      </c>
      <c r="G85" s="10">
        <v>656400000000</v>
      </c>
      <c r="H85" s="10">
        <v>243100000000</v>
      </c>
      <c r="I85" s="10">
        <v>220900000000</v>
      </c>
      <c r="J85" s="10">
        <v>0.33276681155952997</v>
      </c>
      <c r="K85" s="10">
        <v>0.67265529841656502</v>
      </c>
      <c r="L85" s="10">
        <v>0.51557849893739804</v>
      </c>
      <c r="M85" s="10">
        <v>0.53435242471077604</v>
      </c>
      <c r="N85" s="10">
        <v>0.61203423967774395</v>
      </c>
      <c r="O85" s="10">
        <v>0.40303999503167298</v>
      </c>
      <c r="P85" s="10">
        <v>0.39220857508853901</v>
      </c>
      <c r="Q85" s="10">
        <v>0.29513419536143698</v>
      </c>
      <c r="R85" s="10">
        <v>98371000</v>
      </c>
      <c r="S85" s="10">
        <v>1830.8805216589701</v>
      </c>
      <c r="T85" s="2">
        <f t="shared" si="1"/>
        <v>0</v>
      </c>
      <c r="U85" s="26">
        <v>55.524999999999999</v>
      </c>
    </row>
    <row r="86" spans="1:21">
      <c r="A86" s="8" t="s">
        <v>111</v>
      </c>
      <c r="B86" s="7" t="s">
        <v>31</v>
      </c>
      <c r="C86" s="9">
        <v>406400000000</v>
      </c>
      <c r="D86" s="9">
        <v>1616000000000</v>
      </c>
      <c r="E86" s="9">
        <v>2670400000000</v>
      </c>
      <c r="F86" s="9">
        <v>658800000000</v>
      </c>
      <c r="G86" s="9">
        <v>671000000000</v>
      </c>
      <c r="H86" s="9">
        <v>257300000000</v>
      </c>
      <c r="I86" s="9">
        <v>234300000000</v>
      </c>
      <c r="J86" s="9">
        <v>0.34348619064337998</v>
      </c>
      <c r="K86" s="9">
        <v>0.68871252204585498</v>
      </c>
      <c r="L86" s="9">
        <v>0.52639829958679696</v>
      </c>
      <c r="M86" s="9">
        <v>0.54311614044743795</v>
      </c>
      <c r="N86" s="9">
        <v>0.65788800818205095</v>
      </c>
      <c r="O86" s="9">
        <v>0.41164773165204799</v>
      </c>
      <c r="P86" s="9">
        <v>0.40195005472092299</v>
      </c>
      <c r="Q86" s="9">
        <v>0.303610908533271</v>
      </c>
      <c r="R86" s="9">
        <v>99040666.666666701</v>
      </c>
      <c r="S86" s="9">
        <v>1828.1417104809</v>
      </c>
      <c r="T86" s="2">
        <f t="shared" si="1"/>
        <v>0</v>
      </c>
      <c r="U86" s="25">
        <v>57.725000000000001</v>
      </c>
    </row>
    <row r="87" spans="1:21">
      <c r="A87" s="8" t="s">
        <v>112</v>
      </c>
      <c r="B87" s="7" t="s">
        <v>31</v>
      </c>
      <c r="C87" s="10">
        <v>421900000000</v>
      </c>
      <c r="D87" s="10">
        <v>1659500000000</v>
      </c>
      <c r="E87" s="10">
        <v>2730700000000</v>
      </c>
      <c r="F87" s="10">
        <v>667500000000</v>
      </c>
      <c r="G87" s="10">
        <v>676100000000</v>
      </c>
      <c r="H87" s="10">
        <v>280500000000</v>
      </c>
      <c r="I87" s="10">
        <v>253700000000</v>
      </c>
      <c r="J87" s="10">
        <v>0.354360923047286</v>
      </c>
      <c r="K87" s="10">
        <v>0.70160398230088505</v>
      </c>
      <c r="L87" s="10">
        <v>0.53784473308212999</v>
      </c>
      <c r="M87" s="10">
        <v>0.55597339203996399</v>
      </c>
      <c r="N87" s="10">
        <v>0.70177633224918701</v>
      </c>
      <c r="O87" s="10">
        <v>0.41985577884038799</v>
      </c>
      <c r="P87" s="10">
        <v>0.41166402063901603</v>
      </c>
      <c r="Q87" s="10">
        <v>0.31245664899188103</v>
      </c>
      <c r="R87" s="10">
        <v>99637000</v>
      </c>
      <c r="S87" s="10">
        <v>1824.36641448206</v>
      </c>
      <c r="T87" s="2">
        <f t="shared" si="1"/>
        <v>0</v>
      </c>
      <c r="U87" s="26">
        <v>57.25</v>
      </c>
    </row>
    <row r="88" spans="1:21">
      <c r="A88" s="8" t="s">
        <v>113</v>
      </c>
      <c r="B88" s="7" t="s">
        <v>31</v>
      </c>
      <c r="C88" s="9">
        <v>435400000000</v>
      </c>
      <c r="D88" s="9">
        <v>1706500000000</v>
      </c>
      <c r="E88" s="9">
        <v>2796500000000</v>
      </c>
      <c r="F88" s="9">
        <v>680500000000</v>
      </c>
      <c r="G88" s="9">
        <v>690400000000</v>
      </c>
      <c r="H88" s="9">
        <v>304300000000</v>
      </c>
      <c r="I88" s="9">
        <v>268500000000</v>
      </c>
      <c r="J88" s="9">
        <v>0.36834272185230899</v>
      </c>
      <c r="K88" s="9">
        <v>0.72235673930589195</v>
      </c>
      <c r="L88" s="9">
        <v>0.55124493233064598</v>
      </c>
      <c r="M88" s="9">
        <v>0.56634401671496704</v>
      </c>
      <c r="N88" s="9">
        <v>0.76075000000000004</v>
      </c>
      <c r="O88" s="9">
        <v>0.42858894389185997</v>
      </c>
      <c r="P88" s="9">
        <v>0.42397515527950302</v>
      </c>
      <c r="Q88" s="9">
        <v>0.319016001964537</v>
      </c>
      <c r="R88" s="9">
        <v>99862333.333333299</v>
      </c>
      <c r="S88" s="9">
        <v>1818.8226988711499</v>
      </c>
      <c r="T88" s="2">
        <f t="shared" si="1"/>
        <v>0</v>
      </c>
      <c r="U88" s="25">
        <v>58.024999999999999</v>
      </c>
    </row>
    <row r="89" spans="1:21">
      <c r="A89" s="8" t="s">
        <v>114</v>
      </c>
      <c r="B89" s="7" t="s">
        <v>31</v>
      </c>
      <c r="C89" s="10">
        <v>452200000000</v>
      </c>
      <c r="D89" s="10">
        <v>1708900000000</v>
      </c>
      <c r="E89" s="10">
        <v>2799900000000</v>
      </c>
      <c r="F89" s="10">
        <v>646300000000</v>
      </c>
      <c r="G89" s="10">
        <v>654000000000</v>
      </c>
      <c r="H89" s="10">
        <v>292600000000</v>
      </c>
      <c r="I89" s="10">
        <v>277400000000</v>
      </c>
      <c r="J89" s="10">
        <v>0.38077098745677301</v>
      </c>
      <c r="K89" s="10">
        <v>0.73250594137839997</v>
      </c>
      <c r="L89" s="10">
        <v>0.56901145231623595</v>
      </c>
      <c r="M89" s="10">
        <v>0.58528425420031205</v>
      </c>
      <c r="N89" s="10">
        <v>0.78867924528301903</v>
      </c>
      <c r="O89" s="10">
        <v>0.437990801864656</v>
      </c>
      <c r="P89" s="10">
        <v>0.43433727284280099</v>
      </c>
      <c r="Q89" s="10">
        <v>0.32672901443435898</v>
      </c>
      <c r="R89" s="10">
        <v>98953333.333333299</v>
      </c>
      <c r="S89" s="10">
        <v>1814.4673420536301</v>
      </c>
      <c r="T89" s="2">
        <f t="shared" si="1"/>
        <v>0</v>
      </c>
      <c r="U89" s="26">
        <v>52.975000000000001</v>
      </c>
    </row>
    <row r="90" spans="1:21">
      <c r="A90" s="8" t="s">
        <v>115</v>
      </c>
      <c r="B90" s="7" t="s">
        <v>31</v>
      </c>
      <c r="C90" s="9">
        <v>457500000000</v>
      </c>
      <c r="D90" s="9">
        <v>1767700000000</v>
      </c>
      <c r="E90" s="9">
        <v>2860000000000</v>
      </c>
      <c r="F90" s="9">
        <v>663300000000</v>
      </c>
      <c r="G90" s="9">
        <v>629300000000</v>
      </c>
      <c r="H90" s="9">
        <v>279200000000</v>
      </c>
      <c r="I90" s="9">
        <v>284700000000</v>
      </c>
      <c r="J90" s="9">
        <v>0.38791724017933998</v>
      </c>
      <c r="K90" s="9">
        <v>0.75337390844138696</v>
      </c>
      <c r="L90" s="9">
        <v>0.58385605026944698</v>
      </c>
      <c r="M90" s="9">
        <v>0.60161639776226306</v>
      </c>
      <c r="N90" s="9">
        <v>0.81092070868428701</v>
      </c>
      <c r="O90" s="9">
        <v>0.44807219289037897</v>
      </c>
      <c r="P90" s="9">
        <v>0.44449194095903799</v>
      </c>
      <c r="Q90" s="9">
        <v>0.332932638377893</v>
      </c>
      <c r="R90" s="9">
        <v>98899000</v>
      </c>
      <c r="S90" s="9">
        <v>1810.75523783524</v>
      </c>
      <c r="T90" s="2">
        <f t="shared" si="1"/>
        <v>0</v>
      </c>
      <c r="U90" s="25">
        <v>56.35</v>
      </c>
    </row>
    <row r="91" spans="1:21">
      <c r="A91" s="8" t="s">
        <v>116</v>
      </c>
      <c r="B91" s="7" t="s">
        <v>31</v>
      </c>
      <c r="C91" s="10">
        <v>474500000000</v>
      </c>
      <c r="D91" s="10">
        <v>1835400000000</v>
      </c>
      <c r="E91" s="10">
        <v>2993500000000</v>
      </c>
      <c r="F91" s="10">
        <v>699500000000</v>
      </c>
      <c r="G91" s="10">
        <v>690300000000</v>
      </c>
      <c r="H91" s="10">
        <v>299200000000</v>
      </c>
      <c r="I91" s="10">
        <v>292500000000</v>
      </c>
      <c r="J91" s="10">
        <v>0.398791972583246</v>
      </c>
      <c r="K91" s="10">
        <v>0.77875399361022402</v>
      </c>
      <c r="L91" s="10">
        <v>0.59507698221351202</v>
      </c>
      <c r="M91" s="10">
        <v>0.60490785006866898</v>
      </c>
      <c r="N91" s="10">
        <v>0.82469680264608602</v>
      </c>
      <c r="O91" s="10">
        <v>0.46045345474681598</v>
      </c>
      <c r="P91" s="10">
        <v>0.45547945205479501</v>
      </c>
      <c r="Q91" s="10">
        <v>0.34641439213808001</v>
      </c>
      <c r="R91" s="10">
        <v>99498666.666666701</v>
      </c>
      <c r="S91" s="10">
        <v>1807.95472123999</v>
      </c>
      <c r="T91" s="2">
        <f t="shared" si="1"/>
        <v>0</v>
      </c>
      <c r="U91" s="26">
        <v>59.05</v>
      </c>
    </row>
    <row r="92" spans="1:21">
      <c r="A92" s="8" t="s">
        <v>117</v>
      </c>
      <c r="B92" s="7" t="s">
        <v>31</v>
      </c>
      <c r="C92" s="9">
        <v>489500000000</v>
      </c>
      <c r="D92" s="9">
        <v>1890700000000</v>
      </c>
      <c r="E92" s="9">
        <v>3131800000000</v>
      </c>
      <c r="F92" s="9">
        <v>727000000000</v>
      </c>
      <c r="G92" s="9">
        <v>765800000000</v>
      </c>
      <c r="H92" s="9">
        <v>319700000000</v>
      </c>
      <c r="I92" s="9">
        <v>305500000000</v>
      </c>
      <c r="J92" s="9">
        <v>0.40982205830720803</v>
      </c>
      <c r="K92" s="9">
        <v>0.79827541154951698</v>
      </c>
      <c r="L92" s="9">
        <v>0.611354419608231</v>
      </c>
      <c r="M92" s="9">
        <v>0.60984748966791802</v>
      </c>
      <c r="N92" s="9">
        <v>0.845096484271742</v>
      </c>
      <c r="O92" s="9">
        <v>0.47196226471962299</v>
      </c>
      <c r="P92" s="9">
        <v>0.46674730917349699</v>
      </c>
      <c r="Q92" s="9">
        <v>0.35416607619019902</v>
      </c>
      <c r="R92" s="9">
        <v>100239000</v>
      </c>
      <c r="S92" s="9">
        <v>1806.40669595542</v>
      </c>
      <c r="T92" s="2">
        <f t="shared" si="1"/>
        <v>0</v>
      </c>
      <c r="U92" s="25">
        <v>61.5</v>
      </c>
    </row>
    <row r="93" spans="1:21">
      <c r="A93" s="8" t="s">
        <v>118</v>
      </c>
      <c r="B93" s="7" t="s">
        <v>31</v>
      </c>
      <c r="C93" s="10">
        <v>503600000000</v>
      </c>
      <c r="D93" s="10">
        <v>1921900000000</v>
      </c>
      <c r="E93" s="10">
        <v>3167300000000</v>
      </c>
      <c r="F93" s="10">
        <v>743600000000</v>
      </c>
      <c r="G93" s="10">
        <v>755300000000</v>
      </c>
      <c r="H93" s="10">
        <v>322000000000</v>
      </c>
      <c r="I93" s="10">
        <v>308500000000</v>
      </c>
      <c r="J93" s="10">
        <v>0.418366490910277</v>
      </c>
      <c r="K93" s="10">
        <v>0.801715176715177</v>
      </c>
      <c r="L93" s="10">
        <v>0.62621501572752503</v>
      </c>
      <c r="M93" s="10">
        <v>0.63596818413505696</v>
      </c>
      <c r="N93" s="10">
        <v>0.84982845077857005</v>
      </c>
      <c r="O93" s="10">
        <v>0.480819152004615</v>
      </c>
      <c r="P93" s="10">
        <v>0.474531493049554</v>
      </c>
      <c r="Q93" s="10">
        <v>0.36025556579518703</v>
      </c>
      <c r="R93" s="10">
        <v>100800666.666667</v>
      </c>
      <c r="S93" s="10">
        <v>1804.76994490064</v>
      </c>
      <c r="T93" s="2">
        <f t="shared" si="1"/>
        <v>0</v>
      </c>
      <c r="U93" s="26">
        <v>60.225000000000001</v>
      </c>
    </row>
    <row r="94" spans="1:21">
      <c r="A94" s="8" t="s">
        <v>119</v>
      </c>
      <c r="B94" s="7" t="s">
        <v>31</v>
      </c>
      <c r="C94" s="9">
        <v>509500000000</v>
      </c>
      <c r="D94" s="9">
        <v>1961200000000</v>
      </c>
      <c r="E94" s="9">
        <v>3261200000000</v>
      </c>
      <c r="F94" s="9">
        <v>754100000000</v>
      </c>
      <c r="G94" s="9">
        <v>798100000000</v>
      </c>
      <c r="H94" s="9">
        <v>309900000000</v>
      </c>
      <c r="I94" s="9">
        <v>302300000000</v>
      </c>
      <c r="J94" s="9">
        <v>0.430017989914462</v>
      </c>
      <c r="K94" s="9">
        <v>0.80270844397238506</v>
      </c>
      <c r="L94" s="9">
        <v>0.63724228950517103</v>
      </c>
      <c r="M94" s="9">
        <v>0.63773988370989998</v>
      </c>
      <c r="N94" s="9">
        <v>0.82728243459690298</v>
      </c>
      <c r="O94" s="9">
        <v>0.48945654294676499</v>
      </c>
      <c r="P94" s="9">
        <v>0.48229392091284701</v>
      </c>
      <c r="Q94" s="9">
        <v>0.363877124133547</v>
      </c>
      <c r="R94" s="9">
        <v>100482000</v>
      </c>
      <c r="S94" s="9">
        <v>1803.1865733073801</v>
      </c>
      <c r="T94" s="2">
        <f t="shared" si="1"/>
        <v>0</v>
      </c>
      <c r="U94" s="25">
        <v>62.975000000000001</v>
      </c>
    </row>
    <row r="95" spans="1:21">
      <c r="A95" s="8" t="s">
        <v>120</v>
      </c>
      <c r="B95" s="7" t="s">
        <v>31</v>
      </c>
      <c r="C95" s="10">
        <v>526900000000</v>
      </c>
      <c r="D95" s="10">
        <v>1976100000000</v>
      </c>
      <c r="E95" s="10">
        <v>3283500000000</v>
      </c>
      <c r="F95" s="10">
        <v>770500000000</v>
      </c>
      <c r="G95" s="10">
        <v>795200000000</v>
      </c>
      <c r="H95" s="10">
        <v>319400000000</v>
      </c>
      <c r="I95" s="10">
        <v>304700000000</v>
      </c>
      <c r="J95" s="10">
        <v>0.43700888931697401</v>
      </c>
      <c r="K95" s="10">
        <v>0.80523255813953498</v>
      </c>
      <c r="L95" s="10">
        <v>0.65084458680566004</v>
      </c>
      <c r="M95" s="10">
        <v>0.66200148656505897</v>
      </c>
      <c r="N95" s="10">
        <v>0.82896444329094199</v>
      </c>
      <c r="O95" s="10">
        <v>0.49862568525914602</v>
      </c>
      <c r="P95" s="10">
        <v>0.489630565673084</v>
      </c>
      <c r="Q95" s="10">
        <v>0.37375464552336302</v>
      </c>
      <c r="R95" s="10">
        <v>100076666.666667</v>
      </c>
      <c r="S95" s="10">
        <v>1801.63678583656</v>
      </c>
      <c r="T95" s="2">
        <f t="shared" si="1"/>
        <v>0</v>
      </c>
      <c r="U95" s="26">
        <v>59.2</v>
      </c>
    </row>
    <row r="96" spans="1:21">
      <c r="A96" s="8" t="s">
        <v>121</v>
      </c>
      <c r="B96" s="7" t="s">
        <v>31</v>
      </c>
      <c r="C96" s="9">
        <v>537200000000</v>
      </c>
      <c r="D96" s="9">
        <v>2014400000000</v>
      </c>
      <c r="E96" s="9">
        <v>3273800000000</v>
      </c>
      <c r="F96" s="9">
        <v>760000000000</v>
      </c>
      <c r="G96" s="9">
        <v>738500000000</v>
      </c>
      <c r="H96" s="9">
        <v>309500000000</v>
      </c>
      <c r="I96" s="9">
        <v>293200000000</v>
      </c>
      <c r="J96" s="9">
        <v>0.44089272231836901</v>
      </c>
      <c r="K96" s="9">
        <v>0.80994475138121502</v>
      </c>
      <c r="L96" s="9">
        <v>0.66298484090572596</v>
      </c>
      <c r="M96" s="9">
        <v>0.70055640491582205</v>
      </c>
      <c r="N96" s="9">
        <v>0.826876836761956</v>
      </c>
      <c r="O96" s="9">
        <v>0.50560617760617799</v>
      </c>
      <c r="P96" s="9">
        <v>0.495840102397479</v>
      </c>
      <c r="Q96" s="9">
        <v>0.37866261231815201</v>
      </c>
      <c r="R96" s="9">
        <v>99708666.666666701</v>
      </c>
      <c r="S96" s="9">
        <v>1799.3980291431999</v>
      </c>
      <c r="T96" s="2">
        <f t="shared" si="1"/>
        <v>0</v>
      </c>
      <c r="U96" s="25">
        <v>61.6</v>
      </c>
    </row>
    <row r="97" spans="1:21">
      <c r="A97" s="8" t="s">
        <v>122</v>
      </c>
      <c r="B97" s="7" t="s">
        <v>31</v>
      </c>
      <c r="C97" s="10">
        <v>544400000000</v>
      </c>
      <c r="D97" s="10">
        <v>2041100000000</v>
      </c>
      <c r="E97" s="10">
        <v>3331300000000</v>
      </c>
      <c r="F97" s="10">
        <v>754400000000</v>
      </c>
      <c r="G97" s="10">
        <v>750200000000</v>
      </c>
      <c r="H97" s="10">
        <v>299100000000</v>
      </c>
      <c r="I97" s="10">
        <v>294700000000</v>
      </c>
      <c r="J97" s="10">
        <v>0.44726220844065701</v>
      </c>
      <c r="K97" s="10">
        <v>0.80939302389453405</v>
      </c>
      <c r="L97" s="10">
        <v>0.67347891307490204</v>
      </c>
      <c r="M97" s="10">
        <v>0.70279648678342999</v>
      </c>
      <c r="N97" s="10">
        <v>0.81233025529603498</v>
      </c>
      <c r="O97" s="10">
        <v>0.51170470953273295</v>
      </c>
      <c r="P97" s="10">
        <v>0.50056405728860098</v>
      </c>
      <c r="Q97" s="10">
        <v>0.38392204452999401</v>
      </c>
      <c r="R97" s="10">
        <v>99745000</v>
      </c>
      <c r="S97" s="10">
        <v>1799.3216659183499</v>
      </c>
      <c r="T97" s="2">
        <f t="shared" si="1"/>
        <v>0</v>
      </c>
      <c r="U97" s="26">
        <v>62.3</v>
      </c>
    </row>
    <row r="98" spans="1:21">
      <c r="A98" s="8" t="s">
        <v>123</v>
      </c>
      <c r="B98" s="7" t="s">
        <v>31</v>
      </c>
      <c r="C98" s="9">
        <v>557000000000</v>
      </c>
      <c r="D98" s="9">
        <v>2089200000000</v>
      </c>
      <c r="E98" s="9">
        <v>3367100000000</v>
      </c>
      <c r="F98" s="9">
        <v>744600000000</v>
      </c>
      <c r="G98" s="9">
        <v>750600000000</v>
      </c>
      <c r="H98" s="9">
        <v>309300000000</v>
      </c>
      <c r="I98" s="9">
        <v>279600000000</v>
      </c>
      <c r="J98" s="9">
        <v>0.455029874443447</v>
      </c>
      <c r="K98" s="9">
        <v>0.80344827586206902</v>
      </c>
      <c r="L98" s="9">
        <v>0.68222069035544697</v>
      </c>
      <c r="M98" s="9">
        <v>0.73020655672464796</v>
      </c>
      <c r="N98" s="9">
        <v>0.80275110303659503</v>
      </c>
      <c r="O98" s="9">
        <v>0.51906949497441002</v>
      </c>
      <c r="P98" s="9">
        <v>0.50843250346791302</v>
      </c>
      <c r="Q98" s="9">
        <v>0.38842048478462599</v>
      </c>
      <c r="R98" s="9">
        <v>99543333.333333299</v>
      </c>
      <c r="S98" s="9">
        <v>1800.8987516203499</v>
      </c>
      <c r="T98" s="2">
        <f t="shared" si="1"/>
        <v>0</v>
      </c>
      <c r="U98" s="25">
        <v>63.024999999999999</v>
      </c>
    </row>
    <row r="99" spans="1:21">
      <c r="A99" s="8" t="s">
        <v>124</v>
      </c>
      <c r="B99" s="7" t="s">
        <v>31</v>
      </c>
      <c r="C99" s="10">
        <v>573700000000</v>
      </c>
      <c r="D99" s="10">
        <v>2150900000000</v>
      </c>
      <c r="E99" s="10">
        <v>3407800000000</v>
      </c>
      <c r="F99" s="10">
        <v>752600000000</v>
      </c>
      <c r="G99" s="10">
        <v>712800000000</v>
      </c>
      <c r="H99" s="10">
        <v>294900000000</v>
      </c>
      <c r="I99" s="10">
        <v>265300000000</v>
      </c>
      <c r="J99" s="10">
        <v>0.45642805432394901</v>
      </c>
      <c r="K99" s="10">
        <v>0.79885576633544098</v>
      </c>
      <c r="L99" s="10">
        <v>0.68531354272955602</v>
      </c>
      <c r="M99" s="10">
        <v>0.75952111750726803</v>
      </c>
      <c r="N99" s="10">
        <v>0.79659643435980598</v>
      </c>
      <c r="O99" s="10">
        <v>0.52483405461181898</v>
      </c>
      <c r="P99" s="10">
        <v>0.51406515140651499</v>
      </c>
      <c r="Q99" s="10">
        <v>0.39525427177401801</v>
      </c>
      <c r="R99" s="10">
        <v>99119666.666666701</v>
      </c>
      <c r="S99" s="10">
        <v>1804.3815533181</v>
      </c>
      <c r="T99" s="2">
        <f t="shared" si="1"/>
        <v>0</v>
      </c>
      <c r="U99" s="26">
        <v>66.099999999999994</v>
      </c>
    </row>
    <row r="100" spans="1:21">
      <c r="A100" s="8" t="s">
        <v>125</v>
      </c>
      <c r="B100" s="7" t="s">
        <v>31</v>
      </c>
      <c r="C100" s="9">
        <v>584300000000</v>
      </c>
      <c r="D100" s="9">
        <v>2190600000000</v>
      </c>
      <c r="E100" s="9">
        <v>3480300000000</v>
      </c>
      <c r="F100" s="9">
        <v>765200000000</v>
      </c>
      <c r="G100" s="9">
        <v>730000000000</v>
      </c>
      <c r="H100" s="9">
        <v>295300000000</v>
      </c>
      <c r="I100" s="9">
        <v>270700000000</v>
      </c>
      <c r="J100" s="9">
        <v>0.45673876096406102</v>
      </c>
      <c r="K100" s="9">
        <v>0.80231179608772996</v>
      </c>
      <c r="L100" s="9">
        <v>0.68424599584984303</v>
      </c>
      <c r="M100" s="9">
        <v>0.74866970050155701</v>
      </c>
      <c r="N100" s="9">
        <v>0.77997886951928197</v>
      </c>
      <c r="O100" s="9">
        <v>0.52906570186373203</v>
      </c>
      <c r="P100" s="9">
        <v>0.51850975194091997</v>
      </c>
      <c r="Q100" s="9">
        <v>0.39909450032367699</v>
      </c>
      <c r="R100" s="9">
        <v>99143000</v>
      </c>
      <c r="S100" s="9">
        <v>1810.79326131781</v>
      </c>
      <c r="T100" s="2">
        <f t="shared" si="1"/>
        <v>0</v>
      </c>
      <c r="U100" s="25">
        <v>67.224999999999994</v>
      </c>
    </row>
    <row r="101" spans="1:21">
      <c r="A101" s="8" t="s">
        <v>126</v>
      </c>
      <c r="B101" s="7" t="s">
        <v>31</v>
      </c>
      <c r="C101" s="10">
        <v>593700000000</v>
      </c>
      <c r="D101" s="10">
        <v>2254500000000</v>
      </c>
      <c r="E101" s="10">
        <v>3583800000000</v>
      </c>
      <c r="F101" s="10">
        <v>788600000000</v>
      </c>
      <c r="G101" s="10">
        <v>781100000000</v>
      </c>
      <c r="H101" s="10">
        <v>318000000000</v>
      </c>
      <c r="I101" s="10">
        <v>272500000000</v>
      </c>
      <c r="J101" s="10">
        <v>0.46202077384595802</v>
      </c>
      <c r="K101" s="10">
        <v>0.80526004728132405</v>
      </c>
      <c r="L101" s="10">
        <v>0.68163716495220095</v>
      </c>
      <c r="M101" s="10">
        <v>0.73459893813592403</v>
      </c>
      <c r="N101" s="10">
        <v>0.77998528329654204</v>
      </c>
      <c r="O101" s="10">
        <v>0.53264569059049105</v>
      </c>
      <c r="P101" s="10">
        <v>0.52328010398291702</v>
      </c>
      <c r="Q101" s="10">
        <v>0.40265717003958801</v>
      </c>
      <c r="R101" s="10">
        <v>99945000</v>
      </c>
      <c r="S101" s="10">
        <v>1816.9487323754599</v>
      </c>
      <c r="T101" s="2">
        <f t="shared" si="1"/>
        <v>0</v>
      </c>
      <c r="U101" s="26">
        <v>72.400000000000006</v>
      </c>
    </row>
    <row r="102" spans="1:21">
      <c r="A102" s="8" t="s">
        <v>127</v>
      </c>
      <c r="B102" s="7" t="s">
        <v>31</v>
      </c>
      <c r="C102" s="9">
        <v>606200000000</v>
      </c>
      <c r="D102" s="9">
        <v>2324300000000</v>
      </c>
      <c r="E102" s="9">
        <v>3692300000000</v>
      </c>
      <c r="F102" s="9">
        <v>831100000000</v>
      </c>
      <c r="G102" s="9">
        <v>827000000000</v>
      </c>
      <c r="H102" s="9">
        <v>343400000000</v>
      </c>
      <c r="I102" s="9">
        <v>278200000000</v>
      </c>
      <c r="J102" s="9">
        <v>0.46652602012757599</v>
      </c>
      <c r="K102" s="9">
        <v>0.80989810771470205</v>
      </c>
      <c r="L102" s="9">
        <v>0.67949420494205703</v>
      </c>
      <c r="M102" s="9">
        <v>0.730470056765258</v>
      </c>
      <c r="N102" s="9">
        <v>0.78134243458475505</v>
      </c>
      <c r="O102" s="9">
        <v>0.53823615160349902</v>
      </c>
      <c r="P102" s="9">
        <v>0.53017791970802897</v>
      </c>
      <c r="Q102" s="9">
        <v>0.40642208000751201</v>
      </c>
      <c r="R102" s="9">
        <v>101610666.666667</v>
      </c>
      <c r="S102" s="9">
        <v>1823.2665795917301</v>
      </c>
      <c r="T102" s="2">
        <f t="shared" si="1"/>
        <v>0</v>
      </c>
      <c r="U102" s="25">
        <v>75.599999999999994</v>
      </c>
    </row>
    <row r="103" spans="1:21">
      <c r="A103" s="8" t="s">
        <v>128</v>
      </c>
      <c r="B103" s="7" t="s">
        <v>31</v>
      </c>
      <c r="C103" s="10">
        <v>594200000000</v>
      </c>
      <c r="D103" s="10">
        <v>2376700000000</v>
      </c>
      <c r="E103" s="10">
        <v>3796100000000</v>
      </c>
      <c r="F103" s="10">
        <v>872700000000</v>
      </c>
      <c r="G103" s="10">
        <v>896600000000</v>
      </c>
      <c r="H103" s="10">
        <v>358000000000</v>
      </c>
      <c r="I103" s="10">
        <v>286600000000</v>
      </c>
      <c r="J103" s="10">
        <v>0.47118661972925002</v>
      </c>
      <c r="K103" s="10">
        <v>0.81768901569186903</v>
      </c>
      <c r="L103" s="10">
        <v>0.67868276478002398</v>
      </c>
      <c r="M103" s="10">
        <v>0.71128941025207604</v>
      </c>
      <c r="N103" s="10">
        <v>0.77640425070483599</v>
      </c>
      <c r="O103" s="10">
        <v>0.54218381775333901</v>
      </c>
      <c r="P103" s="10">
        <v>0.53371808403134902</v>
      </c>
      <c r="Q103" s="10">
        <v>0.40809446782147402</v>
      </c>
      <c r="R103" s="10">
        <v>102588000</v>
      </c>
      <c r="S103" s="10">
        <v>1828.991426715</v>
      </c>
      <c r="T103" s="2">
        <f t="shared" si="1"/>
        <v>0</v>
      </c>
      <c r="U103" s="26">
        <v>79.825000000000003</v>
      </c>
    </row>
    <row r="104" spans="1:21">
      <c r="A104" s="8" t="s">
        <v>129</v>
      </c>
      <c r="B104" s="7" t="s">
        <v>31</v>
      </c>
      <c r="C104" s="9">
        <v>610300000000</v>
      </c>
      <c r="D104" s="9">
        <v>2422800000000</v>
      </c>
      <c r="E104" s="9">
        <v>3912800000000</v>
      </c>
      <c r="F104" s="9">
        <v>901700000000</v>
      </c>
      <c r="G104" s="9">
        <v>974700000000</v>
      </c>
      <c r="H104" s="9">
        <v>388000000000</v>
      </c>
      <c r="I104" s="9">
        <v>293000000000</v>
      </c>
      <c r="J104" s="9">
        <v>0.47786681249164997</v>
      </c>
      <c r="K104" s="9">
        <v>0.81889323644494105</v>
      </c>
      <c r="L104" s="9">
        <v>0.67936818875717597</v>
      </c>
      <c r="M104" s="9">
        <v>0.70078318788722804</v>
      </c>
      <c r="N104" s="9">
        <v>0.77896004818309605</v>
      </c>
      <c r="O104" s="9">
        <v>0.54796515698960901</v>
      </c>
      <c r="P104" s="9">
        <v>0.53949097062949503</v>
      </c>
      <c r="Q104" s="9">
        <v>0.41725834294755898</v>
      </c>
      <c r="R104" s="9">
        <v>103664000</v>
      </c>
      <c r="S104" s="9">
        <v>1834.3202318727101</v>
      </c>
      <c r="T104" s="2">
        <f t="shared" si="1"/>
        <v>0</v>
      </c>
      <c r="U104" s="25">
        <v>82.85</v>
      </c>
    </row>
    <row r="105" spans="1:21">
      <c r="A105" s="8" t="s">
        <v>130</v>
      </c>
      <c r="B105" s="7" t="s">
        <v>31</v>
      </c>
      <c r="C105" s="10">
        <v>629400000000</v>
      </c>
      <c r="D105" s="10">
        <v>2481200000000</v>
      </c>
      <c r="E105" s="10">
        <v>4015000000000</v>
      </c>
      <c r="F105" s="10">
        <v>939400000000</v>
      </c>
      <c r="G105" s="10">
        <v>1008700000000</v>
      </c>
      <c r="H105" s="10">
        <v>406500000000</v>
      </c>
      <c r="I105" s="10">
        <v>302200000000</v>
      </c>
      <c r="J105" s="10">
        <v>0.482372058773268</v>
      </c>
      <c r="K105" s="10">
        <v>0.82410689937278403</v>
      </c>
      <c r="L105" s="10">
        <v>0.68137761940172403</v>
      </c>
      <c r="M105" s="10">
        <v>0.70217997912901098</v>
      </c>
      <c r="N105" s="10">
        <v>0.78323699421965298</v>
      </c>
      <c r="O105" s="10">
        <v>0.55257363060831299</v>
      </c>
      <c r="P105" s="10">
        <v>0.54473204680673604</v>
      </c>
      <c r="Q105" s="10">
        <v>0.42171590145919802</v>
      </c>
      <c r="R105" s="10">
        <v>105040000</v>
      </c>
      <c r="S105" s="10">
        <v>1837.6606409035901</v>
      </c>
      <c r="T105" s="2">
        <f t="shared" si="1"/>
        <v>0</v>
      </c>
      <c r="U105" s="26">
        <v>85.325000000000003</v>
      </c>
    </row>
    <row r="106" spans="1:21">
      <c r="A106" s="8" t="s">
        <v>131</v>
      </c>
      <c r="B106" s="7" t="s">
        <v>31</v>
      </c>
      <c r="C106" s="9">
        <v>638600000000</v>
      </c>
      <c r="D106" s="9">
        <v>2519700000000</v>
      </c>
      <c r="E106" s="9">
        <v>4087400000000</v>
      </c>
      <c r="F106" s="9">
        <v>961600000000</v>
      </c>
      <c r="G106" s="9">
        <v>1033000000000</v>
      </c>
      <c r="H106" s="9">
        <v>409600000000</v>
      </c>
      <c r="I106" s="9">
        <v>305700000000</v>
      </c>
      <c r="J106" s="9">
        <v>0.48656659841477501</v>
      </c>
      <c r="K106" s="9">
        <v>0.81563500533617905</v>
      </c>
      <c r="L106" s="9">
        <v>0.68385337209838204</v>
      </c>
      <c r="M106" s="9">
        <v>0.70246746509476898</v>
      </c>
      <c r="N106" s="9">
        <v>0.769346356123216</v>
      </c>
      <c r="O106" s="9">
        <v>0.55705621805792205</v>
      </c>
      <c r="P106" s="9">
        <v>0.54896620841412702</v>
      </c>
      <c r="Q106" s="9">
        <v>0.42521673718052699</v>
      </c>
      <c r="R106" s="9">
        <v>105362666.666667</v>
      </c>
      <c r="S106" s="9">
        <v>1839.6650442314999</v>
      </c>
      <c r="T106" s="2">
        <f t="shared" si="1"/>
        <v>0</v>
      </c>
      <c r="U106" s="25">
        <v>85.525000000000006</v>
      </c>
    </row>
    <row r="107" spans="1:21">
      <c r="A107" s="8" t="s">
        <v>132</v>
      </c>
      <c r="B107" s="7" t="s">
        <v>31</v>
      </c>
      <c r="C107" s="10">
        <v>649700000000</v>
      </c>
      <c r="D107" s="10">
        <v>2568900000000</v>
      </c>
      <c r="E107" s="10">
        <v>4147600000000</v>
      </c>
      <c r="F107" s="10">
        <v>988800000000</v>
      </c>
      <c r="G107" s="10">
        <v>1036800000000</v>
      </c>
      <c r="H107" s="10">
        <v>416400000000</v>
      </c>
      <c r="I107" s="10">
        <v>308600000000</v>
      </c>
      <c r="J107" s="10">
        <v>0.49076113805628102</v>
      </c>
      <c r="K107" s="10">
        <v>0.80700836820083699</v>
      </c>
      <c r="L107" s="10">
        <v>0.68580297800385903</v>
      </c>
      <c r="M107" s="10">
        <v>0.71219735411201301</v>
      </c>
      <c r="N107" s="10">
        <v>0.75985401459853996</v>
      </c>
      <c r="O107" s="10">
        <v>0.56078961600865296</v>
      </c>
      <c r="P107" s="10">
        <v>0.55238033802090003</v>
      </c>
      <c r="Q107" s="10">
        <v>0.42695583634217898</v>
      </c>
      <c r="R107" s="10">
        <v>105944333.333333</v>
      </c>
      <c r="S107" s="10">
        <v>1840.3540829922099</v>
      </c>
      <c r="T107" s="2">
        <f t="shared" si="1"/>
        <v>0</v>
      </c>
      <c r="U107" s="26">
        <v>88.45</v>
      </c>
    </row>
    <row r="108" spans="1:21">
      <c r="A108" s="8" t="s">
        <v>133</v>
      </c>
      <c r="B108" s="7" t="s">
        <v>31</v>
      </c>
      <c r="C108" s="9">
        <v>666700000000</v>
      </c>
      <c r="D108" s="9">
        <v>2643900000000</v>
      </c>
      <c r="E108" s="9">
        <v>4237000000000</v>
      </c>
      <c r="F108" s="9">
        <v>1001400000000</v>
      </c>
      <c r="G108" s="9">
        <v>1017700000000</v>
      </c>
      <c r="H108" s="9">
        <v>397300000000</v>
      </c>
      <c r="I108" s="9">
        <v>306000000000</v>
      </c>
      <c r="J108" s="9">
        <v>0.49526638433789999</v>
      </c>
      <c r="K108" s="9">
        <v>0.79812206572769995</v>
      </c>
      <c r="L108" s="9">
        <v>0.68947194802044698</v>
      </c>
      <c r="M108" s="9">
        <v>0.71853399358398395</v>
      </c>
      <c r="N108" s="9">
        <v>0.74136965851837999</v>
      </c>
      <c r="O108" s="9">
        <v>0.56724010977977102</v>
      </c>
      <c r="P108" s="9">
        <v>0.55899951371122902</v>
      </c>
      <c r="Q108" s="9">
        <v>0.432746994392328</v>
      </c>
      <c r="R108" s="9">
        <v>106615333.333333</v>
      </c>
      <c r="S108" s="9">
        <v>1839.28273989785</v>
      </c>
      <c r="T108" s="2">
        <f t="shared" si="1"/>
        <v>0</v>
      </c>
      <c r="U108" s="25">
        <v>92</v>
      </c>
    </row>
    <row r="109" spans="1:21">
      <c r="A109" s="8" t="s">
        <v>134</v>
      </c>
      <c r="B109" s="7" t="s">
        <v>31</v>
      </c>
      <c r="C109" s="10">
        <v>679800000000</v>
      </c>
      <c r="D109" s="10">
        <v>2691200000000</v>
      </c>
      <c r="E109" s="10">
        <v>4302300000000</v>
      </c>
      <c r="F109" s="10">
        <v>1024000000000</v>
      </c>
      <c r="G109" s="10">
        <v>1045800000000</v>
      </c>
      <c r="H109" s="10">
        <v>418600000000</v>
      </c>
      <c r="I109" s="10">
        <v>304100000000</v>
      </c>
      <c r="J109" s="10">
        <v>0.49977163061951801</v>
      </c>
      <c r="K109" s="10">
        <v>0.79503267973856195</v>
      </c>
      <c r="L109" s="10">
        <v>0.69012371899593705</v>
      </c>
      <c r="M109" s="10">
        <v>0.72229010747120403</v>
      </c>
      <c r="N109" s="10">
        <v>0.74444246843322104</v>
      </c>
      <c r="O109" s="10">
        <v>0.57075578078775302</v>
      </c>
      <c r="P109" s="10">
        <v>0.56370834293374705</v>
      </c>
      <c r="Q109" s="10">
        <v>0.43526011063275399</v>
      </c>
      <c r="R109" s="10">
        <v>106791000</v>
      </c>
      <c r="S109" s="10">
        <v>1837.54917351107</v>
      </c>
      <c r="T109" s="2">
        <f t="shared" si="1"/>
        <v>0</v>
      </c>
      <c r="U109" s="26">
        <v>93.325000000000003</v>
      </c>
    </row>
    <row r="110" spans="1:21">
      <c r="A110" s="8" t="s">
        <v>135</v>
      </c>
      <c r="B110" s="7" t="s">
        <v>31</v>
      </c>
      <c r="C110" s="9">
        <v>697800000000</v>
      </c>
      <c r="D110" s="9">
        <v>2764700000000</v>
      </c>
      <c r="E110" s="9">
        <v>4394600000000</v>
      </c>
      <c r="F110" s="9">
        <v>1032600000000</v>
      </c>
      <c r="G110" s="9">
        <v>1049000000000</v>
      </c>
      <c r="H110" s="9">
        <v>414200000000</v>
      </c>
      <c r="I110" s="9">
        <v>297300000000</v>
      </c>
      <c r="J110" s="9">
        <v>0.50287869702063404</v>
      </c>
      <c r="K110" s="9">
        <v>0.78859416445623298</v>
      </c>
      <c r="L110" s="9">
        <v>0.69522497686200802</v>
      </c>
      <c r="M110" s="9">
        <v>0.72948157758832499</v>
      </c>
      <c r="N110" s="9">
        <v>0.74389367816092</v>
      </c>
      <c r="O110" s="9">
        <v>0.57406730065837597</v>
      </c>
      <c r="P110" s="9">
        <v>0.56819022565662403</v>
      </c>
      <c r="Q110" s="9">
        <v>0.43698247971028897</v>
      </c>
      <c r="R110" s="9">
        <v>107186333.333333</v>
      </c>
      <c r="S110" s="9">
        <v>1834.99203493143</v>
      </c>
      <c r="T110" s="2">
        <f t="shared" si="1"/>
        <v>0</v>
      </c>
      <c r="U110" s="25">
        <v>99.125</v>
      </c>
    </row>
    <row r="111" spans="1:21">
      <c r="A111" s="8" t="s">
        <v>136</v>
      </c>
      <c r="B111" s="7" t="s">
        <v>31</v>
      </c>
      <c r="C111" s="10">
        <v>709900000000</v>
      </c>
      <c r="D111" s="10">
        <v>2790900000000</v>
      </c>
      <c r="E111" s="10">
        <v>4453100000000</v>
      </c>
      <c r="F111" s="10">
        <v>1052700000000</v>
      </c>
      <c r="G111" s="10">
        <v>1085800000000</v>
      </c>
      <c r="H111" s="10">
        <v>438900000000</v>
      </c>
      <c r="I111" s="10">
        <v>305400000000</v>
      </c>
      <c r="J111" s="10">
        <v>0.50800535658247503</v>
      </c>
      <c r="K111" s="10">
        <v>0.78650527942312598</v>
      </c>
      <c r="L111" s="10">
        <v>0.69926359553072004</v>
      </c>
      <c r="M111" s="10">
        <v>0.73344670541502499</v>
      </c>
      <c r="N111" s="10">
        <v>0.75842405391394496</v>
      </c>
      <c r="O111" s="10">
        <v>0.57737987189793305</v>
      </c>
      <c r="P111" s="10">
        <v>0.57210503659061596</v>
      </c>
      <c r="Q111" s="10">
        <v>0.44041285833974297</v>
      </c>
      <c r="R111" s="10">
        <v>108023333.333333</v>
      </c>
      <c r="S111" s="10">
        <v>1832.1760516596501</v>
      </c>
      <c r="T111" s="2">
        <f t="shared" si="1"/>
        <v>0</v>
      </c>
      <c r="U111" s="26">
        <v>95.95</v>
      </c>
    </row>
    <row r="112" spans="1:21">
      <c r="A112" s="8" t="s">
        <v>137</v>
      </c>
      <c r="B112" s="7" t="s">
        <v>31</v>
      </c>
      <c r="C112" s="9">
        <v>715500000000</v>
      </c>
      <c r="D112" s="9">
        <v>2834700000000</v>
      </c>
      <c r="E112" s="9">
        <v>4516300000000</v>
      </c>
      <c r="F112" s="9">
        <v>1061600000000</v>
      </c>
      <c r="G112" s="9">
        <v>1092100000000</v>
      </c>
      <c r="H112" s="9">
        <v>439400000000</v>
      </c>
      <c r="I112" s="9">
        <v>313400000000</v>
      </c>
      <c r="J112" s="9">
        <v>0.51064636302342403</v>
      </c>
      <c r="K112" s="9">
        <v>0.78252184769038702</v>
      </c>
      <c r="L112" s="9">
        <v>0.70232274049696497</v>
      </c>
      <c r="M112" s="9">
        <v>0.73679228759123805</v>
      </c>
      <c r="N112" s="9">
        <v>0.760076111399412</v>
      </c>
      <c r="O112" s="9">
        <v>0.58019552677894703</v>
      </c>
      <c r="P112" s="9">
        <v>0.57620538255142695</v>
      </c>
      <c r="Q112" s="9">
        <v>0.43961737414864099</v>
      </c>
      <c r="R112" s="9">
        <v>108734666.666667</v>
      </c>
      <c r="S112" s="9">
        <v>1828.6878608765801</v>
      </c>
      <c r="T112" s="2">
        <f t="shared" si="1"/>
        <v>0</v>
      </c>
      <c r="U112" s="25">
        <v>97.9</v>
      </c>
    </row>
    <row r="113" spans="1:21">
      <c r="A113" s="8" t="s">
        <v>138</v>
      </c>
      <c r="B113" s="7" t="s">
        <v>31</v>
      </c>
      <c r="C113" s="10">
        <v>731100000000</v>
      </c>
      <c r="D113" s="10">
        <v>2863000000000</v>
      </c>
      <c r="E113" s="10">
        <v>4555200000000</v>
      </c>
      <c r="F113" s="10">
        <v>1074300000000</v>
      </c>
      <c r="G113" s="10">
        <v>1090000000000</v>
      </c>
      <c r="H113" s="10">
        <v>444000000000</v>
      </c>
      <c r="I113" s="10">
        <v>315100000000</v>
      </c>
      <c r="J113" s="10">
        <v>0.50816070990253104</v>
      </c>
      <c r="K113" s="10">
        <v>0.77840909090909105</v>
      </c>
      <c r="L113" s="10">
        <v>0.70836162769297795</v>
      </c>
      <c r="M113" s="10">
        <v>0.75189213739811001</v>
      </c>
      <c r="N113" s="10">
        <v>0.73668491786958701</v>
      </c>
      <c r="O113" s="10">
        <v>0.58252129210465697</v>
      </c>
      <c r="P113" s="10">
        <v>0.57552366019378398</v>
      </c>
      <c r="Q113" s="10">
        <v>0.44052127593965201</v>
      </c>
      <c r="R113" s="10">
        <v>109205666.666667</v>
      </c>
      <c r="S113" s="10">
        <v>1827.3792103302901</v>
      </c>
      <c r="T113" s="2">
        <f t="shared" si="1"/>
        <v>0</v>
      </c>
      <c r="U113" s="26">
        <v>101.825</v>
      </c>
    </row>
    <row r="114" spans="1:21">
      <c r="A114" s="8" t="s">
        <v>139</v>
      </c>
      <c r="B114" s="7" t="s">
        <v>31</v>
      </c>
      <c r="C114" s="9">
        <v>746700000000</v>
      </c>
      <c r="D114" s="9">
        <v>2929700000000</v>
      </c>
      <c r="E114" s="9">
        <v>4619600000000</v>
      </c>
      <c r="F114" s="9">
        <v>1089200000000</v>
      </c>
      <c r="G114" s="9">
        <v>1082100000000</v>
      </c>
      <c r="H114" s="9">
        <v>459400000000</v>
      </c>
      <c r="I114" s="9">
        <v>320500000000</v>
      </c>
      <c r="J114" s="9">
        <v>0.51126777630364695</v>
      </c>
      <c r="K114" s="9">
        <v>0.77396764066650603</v>
      </c>
      <c r="L114" s="9">
        <v>0.71326018478864694</v>
      </c>
      <c r="M114" s="9">
        <v>0.76181939061437598</v>
      </c>
      <c r="N114" s="9">
        <v>0.74168550209880502</v>
      </c>
      <c r="O114" s="9">
        <v>0.58486314030334496</v>
      </c>
      <c r="P114" s="9">
        <v>0.57845479495330399</v>
      </c>
      <c r="Q114" s="9">
        <v>0.443500959103375</v>
      </c>
      <c r="R114" s="9">
        <v>109970000</v>
      </c>
      <c r="S114" s="9">
        <v>1827.3984388265801</v>
      </c>
      <c r="T114" s="2">
        <f t="shared" si="1"/>
        <v>0</v>
      </c>
      <c r="U114" s="25">
        <v>111.425</v>
      </c>
    </row>
    <row r="115" spans="1:21">
      <c r="A115" s="8" t="s">
        <v>140</v>
      </c>
      <c r="B115" s="7" t="s">
        <v>31</v>
      </c>
      <c r="C115" s="10">
        <v>752000000000</v>
      </c>
      <c r="D115" s="10">
        <v>2966100000000</v>
      </c>
      <c r="E115" s="10">
        <v>4669400000000</v>
      </c>
      <c r="F115" s="10">
        <v>1097700000000</v>
      </c>
      <c r="G115" s="10">
        <v>1084900000000</v>
      </c>
      <c r="H115" s="10">
        <v>468600000000</v>
      </c>
      <c r="I115" s="10">
        <v>335000000000</v>
      </c>
      <c r="J115" s="10">
        <v>0.51484090266493099</v>
      </c>
      <c r="K115" s="10">
        <v>0.77997671711292205</v>
      </c>
      <c r="L115" s="10">
        <v>0.718984969122896</v>
      </c>
      <c r="M115" s="10">
        <v>0.76437652213082297</v>
      </c>
      <c r="N115" s="10">
        <v>0.75072092278115998</v>
      </c>
      <c r="O115" s="10">
        <v>0.58812267775048799</v>
      </c>
      <c r="P115" s="10">
        <v>0.581919130485963</v>
      </c>
      <c r="Q115" s="10">
        <v>0.44693052985959397</v>
      </c>
      <c r="R115" s="10">
        <v>110492000</v>
      </c>
      <c r="S115" s="10">
        <v>1828.5344899665499</v>
      </c>
      <c r="T115" s="2">
        <f t="shared" si="1"/>
        <v>0</v>
      </c>
      <c r="U115" s="26">
        <v>110.27500000000001</v>
      </c>
    </row>
    <row r="116" spans="1:21">
      <c r="A116" s="8" t="s">
        <v>141</v>
      </c>
      <c r="B116" s="7" t="s">
        <v>31</v>
      </c>
      <c r="C116" s="9">
        <v>760600000000</v>
      </c>
      <c r="D116" s="9">
        <v>2998300000000</v>
      </c>
      <c r="E116" s="9">
        <v>4736200000000</v>
      </c>
      <c r="F116" s="9">
        <v>1090700000000</v>
      </c>
      <c r="G116" s="9">
        <v>1118500000000</v>
      </c>
      <c r="H116" s="9">
        <v>477700000000</v>
      </c>
      <c r="I116" s="9">
        <v>336500000000</v>
      </c>
      <c r="J116" s="9">
        <v>0.52105503546716303</v>
      </c>
      <c r="K116" s="9">
        <v>0.78292228943694697</v>
      </c>
      <c r="L116" s="9">
        <v>0.72436783072145405</v>
      </c>
      <c r="M116" s="9">
        <v>0.76016947433098103</v>
      </c>
      <c r="N116" s="9">
        <v>0.76986301369862997</v>
      </c>
      <c r="O116" s="9">
        <v>0.59239524702939295</v>
      </c>
      <c r="P116" s="9">
        <v>0.58814413778222396</v>
      </c>
      <c r="Q116" s="9">
        <v>0.45176745051554701</v>
      </c>
      <c r="R116" s="9">
        <v>111206000</v>
      </c>
      <c r="S116" s="9">
        <v>1831.3017743850201</v>
      </c>
      <c r="T116" s="2">
        <f t="shared" si="1"/>
        <v>0</v>
      </c>
      <c r="U116" s="25">
        <v>104.625</v>
      </c>
    </row>
    <row r="117" spans="1:21">
      <c r="A117" s="8" t="s">
        <v>142</v>
      </c>
      <c r="B117" s="7" t="s">
        <v>31</v>
      </c>
      <c r="C117" s="10">
        <v>771300000000</v>
      </c>
      <c r="D117" s="10">
        <v>3068800000000</v>
      </c>
      <c r="E117" s="10">
        <v>4821500000000</v>
      </c>
      <c r="F117" s="10">
        <v>1111800000000</v>
      </c>
      <c r="G117" s="10">
        <v>1128300000000</v>
      </c>
      <c r="H117" s="10">
        <v>502300000000</v>
      </c>
      <c r="I117" s="10">
        <v>355400000000</v>
      </c>
      <c r="J117" s="10">
        <v>0.52695846162928295</v>
      </c>
      <c r="K117" s="10">
        <v>0.79418994413407795</v>
      </c>
      <c r="L117" s="10">
        <v>0.72407282352306801</v>
      </c>
      <c r="M117" s="10">
        <v>0.759969387418029</v>
      </c>
      <c r="N117" s="10">
        <v>0.789779874213836</v>
      </c>
      <c r="O117" s="10">
        <v>0.59637339666283196</v>
      </c>
      <c r="P117" s="10">
        <v>0.59373911697558301</v>
      </c>
      <c r="Q117" s="10">
        <v>0.45700343610295802</v>
      </c>
      <c r="R117" s="10">
        <v>112158000</v>
      </c>
      <c r="S117" s="10">
        <v>1832.7954697319999</v>
      </c>
      <c r="T117" s="2">
        <f t="shared" si="1"/>
        <v>0</v>
      </c>
      <c r="U117" s="26">
        <v>109.77500000000001</v>
      </c>
    </row>
    <row r="118" spans="1:21">
      <c r="A118" s="8" t="s">
        <v>143</v>
      </c>
      <c r="B118" s="7" t="s">
        <v>31</v>
      </c>
      <c r="C118" s="9">
        <v>777000000000</v>
      </c>
      <c r="D118" s="9">
        <v>3133500000000</v>
      </c>
      <c r="E118" s="9">
        <v>4900500000000</v>
      </c>
      <c r="F118" s="9">
        <v>1134500000000</v>
      </c>
      <c r="G118" s="9">
        <v>1135400000000</v>
      </c>
      <c r="H118" s="9">
        <v>517300000000</v>
      </c>
      <c r="I118" s="9">
        <v>371900000000</v>
      </c>
      <c r="J118" s="9">
        <v>0.53255118115129196</v>
      </c>
      <c r="K118" s="9">
        <v>0.79653030627543397</v>
      </c>
      <c r="L118" s="9">
        <v>0.72349163069634703</v>
      </c>
      <c r="M118" s="9">
        <v>0.75902816529024997</v>
      </c>
      <c r="N118" s="9">
        <v>0.797933055684097</v>
      </c>
      <c r="O118" s="9">
        <v>0.60069870066192699</v>
      </c>
      <c r="P118" s="9">
        <v>0.59931146600363405</v>
      </c>
      <c r="Q118" s="9">
        <v>0.46157969504181101</v>
      </c>
      <c r="R118" s="9">
        <v>112866666.666667</v>
      </c>
      <c r="S118" s="9">
        <v>1833.7206000829899</v>
      </c>
      <c r="T118" s="2">
        <f t="shared" si="1"/>
        <v>0</v>
      </c>
      <c r="U118" s="25">
        <v>115.125</v>
      </c>
    </row>
    <row r="119" spans="1:21">
      <c r="A119" s="8" t="s">
        <v>144</v>
      </c>
      <c r="B119" s="7" t="s">
        <v>31</v>
      </c>
      <c r="C119" s="10">
        <v>795500000000</v>
      </c>
      <c r="D119" s="10">
        <v>3167600000000</v>
      </c>
      <c r="E119" s="10">
        <v>5022700000000</v>
      </c>
      <c r="F119" s="10">
        <v>1141700000000</v>
      </c>
      <c r="G119" s="10">
        <v>1205000000000</v>
      </c>
      <c r="H119" s="10">
        <v>537500000000</v>
      </c>
      <c r="I119" s="10">
        <v>392100000000</v>
      </c>
      <c r="J119" s="10">
        <v>0.53752248739307795</v>
      </c>
      <c r="K119" s="10">
        <v>0.80962213504026403</v>
      </c>
      <c r="L119" s="10">
        <v>0.72931767604240705</v>
      </c>
      <c r="M119" s="10">
        <v>0.75791830240737801</v>
      </c>
      <c r="N119" s="10">
        <v>0.81046441495777999</v>
      </c>
      <c r="O119" s="10">
        <v>0.605677282429124</v>
      </c>
      <c r="P119" s="10">
        <v>0.60456150396030195</v>
      </c>
      <c r="Q119" s="10">
        <v>0.46389648763269198</v>
      </c>
      <c r="R119" s="10">
        <v>113526666.666667</v>
      </c>
      <c r="S119" s="10">
        <v>1834.1821557999899</v>
      </c>
      <c r="T119" s="2">
        <f t="shared" si="1"/>
        <v>0</v>
      </c>
      <c r="U119" s="26">
        <v>112.47499999999999</v>
      </c>
    </row>
    <row r="120" spans="1:21">
      <c r="A120" s="8" t="s">
        <v>145</v>
      </c>
      <c r="B120" s="7" t="s">
        <v>31</v>
      </c>
      <c r="C120" s="9">
        <v>803500000000</v>
      </c>
      <c r="D120" s="9">
        <v>3249000000000</v>
      </c>
      <c r="E120" s="9">
        <v>5090600000000</v>
      </c>
      <c r="F120" s="9">
        <v>1145100000000</v>
      </c>
      <c r="G120" s="9">
        <v>1162100000000</v>
      </c>
      <c r="H120" s="9">
        <v>542700000000</v>
      </c>
      <c r="I120" s="9">
        <v>418700000000</v>
      </c>
      <c r="J120" s="9">
        <v>0.54171702703458502</v>
      </c>
      <c r="K120" s="9">
        <v>0.81905320813771498</v>
      </c>
      <c r="L120" s="9">
        <v>0.73727010804056003</v>
      </c>
      <c r="M120" s="9">
        <v>0.770365893169349</v>
      </c>
      <c r="N120" s="9">
        <v>0.82214815936979202</v>
      </c>
      <c r="O120" s="9">
        <v>0.61043492859112902</v>
      </c>
      <c r="P120" s="9">
        <v>0.60925984960714097</v>
      </c>
      <c r="Q120" s="9">
        <v>0.46827196334287802</v>
      </c>
      <c r="R120" s="9">
        <v>114093333.333333</v>
      </c>
      <c r="S120" s="9">
        <v>1833.68802321359</v>
      </c>
      <c r="T120" s="2">
        <f t="shared" si="1"/>
        <v>0</v>
      </c>
      <c r="U120" s="25">
        <v>117.6</v>
      </c>
    </row>
    <row r="121" spans="1:21">
      <c r="A121" s="8" t="s">
        <v>146</v>
      </c>
      <c r="B121" s="7" t="s">
        <v>31</v>
      </c>
      <c r="C121" s="10">
        <v>812400000000</v>
      </c>
      <c r="D121" s="10">
        <v>3309000000000</v>
      </c>
      <c r="E121" s="10">
        <v>5207700000000</v>
      </c>
      <c r="F121" s="10">
        <v>1173400000000</v>
      </c>
      <c r="G121" s="10">
        <v>1192900000000</v>
      </c>
      <c r="H121" s="10">
        <v>546100000000</v>
      </c>
      <c r="I121" s="10">
        <v>439500000000</v>
      </c>
      <c r="J121" s="10">
        <v>0.54793115983681695</v>
      </c>
      <c r="K121" s="10">
        <v>0.83634633682207404</v>
      </c>
      <c r="L121" s="10">
        <v>0.74054215924887101</v>
      </c>
      <c r="M121" s="10">
        <v>0.76277335742500496</v>
      </c>
      <c r="N121" s="10">
        <v>0.83693486590038302</v>
      </c>
      <c r="O121" s="10">
        <v>0.616332327356648</v>
      </c>
      <c r="P121" s="10">
        <v>0.61599463866860305</v>
      </c>
      <c r="Q121" s="10">
        <v>0.47447216852028501</v>
      </c>
      <c r="R121" s="10">
        <v>114623000</v>
      </c>
      <c r="S121" s="10">
        <v>1835.09631724054</v>
      </c>
      <c r="T121" s="2">
        <f t="shared" si="1"/>
        <v>0</v>
      </c>
      <c r="U121" s="26">
        <v>118.3</v>
      </c>
    </row>
    <row r="122" spans="1:21">
      <c r="A122" s="8" t="s">
        <v>147</v>
      </c>
      <c r="B122" s="7" t="s">
        <v>31</v>
      </c>
      <c r="C122" s="9">
        <v>819700000000</v>
      </c>
      <c r="D122" s="9">
        <v>3378300000000</v>
      </c>
      <c r="E122" s="9">
        <v>5299500000000</v>
      </c>
      <c r="F122" s="9">
        <v>1182500000000</v>
      </c>
      <c r="G122" s="9">
        <v>1200700000000</v>
      </c>
      <c r="H122" s="9">
        <v>552800000000</v>
      </c>
      <c r="I122" s="9">
        <v>453600000000</v>
      </c>
      <c r="J122" s="9">
        <v>0.55461135259921601</v>
      </c>
      <c r="K122" s="9">
        <v>0.84642657212166506</v>
      </c>
      <c r="L122" s="9">
        <v>0.74455793450192098</v>
      </c>
      <c r="M122" s="9">
        <v>0.76312843172584399</v>
      </c>
      <c r="N122" s="9">
        <v>0.82766881269651105</v>
      </c>
      <c r="O122" s="9">
        <v>0.62359530729675405</v>
      </c>
      <c r="P122" s="9">
        <v>0.62356719641176195</v>
      </c>
      <c r="Q122" s="9">
        <v>0.479060169540106</v>
      </c>
      <c r="R122" s="9">
        <v>115232666.666667</v>
      </c>
      <c r="S122" s="9">
        <v>1837.76151864702</v>
      </c>
      <c r="T122" s="2">
        <f t="shared" si="1"/>
        <v>0</v>
      </c>
      <c r="U122" s="25">
        <v>117.6</v>
      </c>
    </row>
    <row r="123" spans="1:21">
      <c r="A123" s="8" t="s">
        <v>148</v>
      </c>
      <c r="B123" s="7" t="s">
        <v>31</v>
      </c>
      <c r="C123" s="10">
        <v>843600000000</v>
      </c>
      <c r="D123" s="10">
        <v>3451300000000</v>
      </c>
      <c r="E123" s="10">
        <v>5412700000000</v>
      </c>
      <c r="F123" s="10">
        <v>1206400000000</v>
      </c>
      <c r="G123" s="10">
        <v>1225500000000</v>
      </c>
      <c r="H123" s="10">
        <v>574300000000</v>
      </c>
      <c r="I123" s="10">
        <v>466600000000</v>
      </c>
      <c r="J123" s="10">
        <v>0.56067013208139305</v>
      </c>
      <c r="K123" s="10">
        <v>0.84498370155740699</v>
      </c>
      <c r="L123" s="10">
        <v>0.75133943885598797</v>
      </c>
      <c r="M123" s="10">
        <v>0.76860925670274904</v>
      </c>
      <c r="N123" s="10">
        <v>0.83437454598285599</v>
      </c>
      <c r="O123" s="10">
        <v>0.62858702342380002</v>
      </c>
      <c r="P123" s="10">
        <v>0.62983375002281194</v>
      </c>
      <c r="Q123" s="10">
        <v>0.48325196719832803</v>
      </c>
      <c r="R123" s="10">
        <v>115947333.333333</v>
      </c>
      <c r="S123" s="10">
        <v>1841.45414089886</v>
      </c>
      <c r="T123" s="2">
        <f t="shared" si="1"/>
        <v>0</v>
      </c>
      <c r="U123" s="26">
        <v>121.55</v>
      </c>
    </row>
    <row r="124" spans="1:21">
      <c r="A124" s="8" t="s">
        <v>149</v>
      </c>
      <c r="B124" s="7" t="s">
        <v>31</v>
      </c>
      <c r="C124" s="9">
        <v>853400000000</v>
      </c>
      <c r="D124" s="9">
        <v>3506100000000</v>
      </c>
      <c r="E124" s="9">
        <v>5527400000000</v>
      </c>
      <c r="F124" s="9">
        <v>1220600000000</v>
      </c>
      <c r="G124" s="9">
        <v>1268900000000</v>
      </c>
      <c r="H124" s="9">
        <v>586200000000</v>
      </c>
      <c r="I124" s="9">
        <v>485200000000</v>
      </c>
      <c r="J124" s="9">
        <v>0.56703961820368098</v>
      </c>
      <c r="K124" s="9">
        <v>0.85317390539827698</v>
      </c>
      <c r="L124" s="9">
        <v>0.75421539258681503</v>
      </c>
      <c r="M124" s="9">
        <v>0.765090715830125</v>
      </c>
      <c r="N124" s="9">
        <v>0.84772234273318903</v>
      </c>
      <c r="O124" s="9">
        <v>0.635501339434563</v>
      </c>
      <c r="P124" s="9">
        <v>0.63689373297002705</v>
      </c>
      <c r="Q124" s="9">
        <v>0.49251458775430201</v>
      </c>
      <c r="R124" s="9">
        <v>116835333.333333</v>
      </c>
      <c r="S124" s="9">
        <v>1847.6484022693801</v>
      </c>
      <c r="T124" s="2">
        <f t="shared" si="1"/>
        <v>0</v>
      </c>
      <c r="U124" s="25">
        <v>121.6</v>
      </c>
    </row>
    <row r="125" spans="1:21">
      <c r="A125" s="8" t="s">
        <v>150</v>
      </c>
      <c r="B125" s="7" t="s">
        <v>31</v>
      </c>
      <c r="C125" s="10">
        <v>878600000000</v>
      </c>
      <c r="D125" s="10">
        <v>3569500000000</v>
      </c>
      <c r="E125" s="10">
        <v>5628400000000</v>
      </c>
      <c r="F125" s="10">
        <v>1232200000000</v>
      </c>
      <c r="G125" s="10">
        <v>1268500000000</v>
      </c>
      <c r="H125" s="10">
        <v>595400000000</v>
      </c>
      <c r="I125" s="10">
        <v>507200000000</v>
      </c>
      <c r="J125" s="10">
        <v>0.57620546408697304</v>
      </c>
      <c r="K125" s="10">
        <v>0.85444743935309997</v>
      </c>
      <c r="L125" s="10">
        <v>0.75856467713329601</v>
      </c>
      <c r="M125" s="10">
        <v>0.76796820542575195</v>
      </c>
      <c r="N125" s="10">
        <v>0.856937248128958</v>
      </c>
      <c r="O125" s="10">
        <v>0.64206431594437696</v>
      </c>
      <c r="P125" s="10">
        <v>0.64537417056898505</v>
      </c>
      <c r="Q125" s="10">
        <v>0.49918524624094601</v>
      </c>
      <c r="R125" s="10">
        <v>117204666.666667</v>
      </c>
      <c r="S125" s="10">
        <v>1850.2246924645499</v>
      </c>
      <c r="T125" s="2">
        <f t="shared" si="1"/>
        <v>0</v>
      </c>
      <c r="U125" s="26">
        <v>123.325</v>
      </c>
    </row>
    <row r="126" spans="1:21">
      <c r="A126" s="8" t="s">
        <v>151</v>
      </c>
      <c r="B126" s="7" t="s">
        <v>31</v>
      </c>
      <c r="C126" s="9">
        <v>889600000000</v>
      </c>
      <c r="D126" s="9">
        <v>3625600000000</v>
      </c>
      <c r="E126" s="9">
        <v>5711600000000</v>
      </c>
      <c r="F126" s="9">
        <v>1261700000000</v>
      </c>
      <c r="G126" s="9">
        <v>1271400000000</v>
      </c>
      <c r="H126" s="9">
        <v>584400000000</v>
      </c>
      <c r="I126" s="9">
        <v>509400000000</v>
      </c>
      <c r="J126" s="9">
        <v>0.58071071036859101</v>
      </c>
      <c r="K126" s="9">
        <v>0.849424712356178</v>
      </c>
      <c r="L126" s="9">
        <v>0.76172214912793501</v>
      </c>
      <c r="M126" s="9">
        <v>0.77245312131203803</v>
      </c>
      <c r="N126" s="9">
        <v>0.84231767079850095</v>
      </c>
      <c r="O126" s="9">
        <v>0.64673045349034697</v>
      </c>
      <c r="P126" s="9">
        <v>0.64906281888326001</v>
      </c>
      <c r="Q126" s="9">
        <v>0.50290075120310396</v>
      </c>
      <c r="R126" s="9">
        <v>117493666.666667</v>
      </c>
      <c r="S126" s="9">
        <v>1850.4151337328001</v>
      </c>
      <c r="T126" s="2">
        <f t="shared" si="1"/>
        <v>0</v>
      </c>
      <c r="U126" s="25">
        <v>126.4</v>
      </c>
    </row>
    <row r="127" spans="1:21">
      <c r="A127" s="8" t="s">
        <v>152</v>
      </c>
      <c r="B127" s="7" t="s">
        <v>31</v>
      </c>
      <c r="C127" s="10">
        <v>904400000000</v>
      </c>
      <c r="D127" s="10">
        <v>3670100000000</v>
      </c>
      <c r="E127" s="10">
        <v>5763400000000</v>
      </c>
      <c r="F127" s="10">
        <v>1255200000000</v>
      </c>
      <c r="G127" s="10">
        <v>1271700000000</v>
      </c>
      <c r="H127" s="10">
        <v>598200000000</v>
      </c>
      <c r="I127" s="10">
        <v>515400000000</v>
      </c>
      <c r="J127" s="10">
        <v>0.58661413653071204</v>
      </c>
      <c r="K127" s="10">
        <v>0.84672252341054699</v>
      </c>
      <c r="L127" s="10">
        <v>0.76796131913471299</v>
      </c>
      <c r="M127" s="10">
        <v>0.77938884116640506</v>
      </c>
      <c r="N127" s="10">
        <v>0.84682899207247997</v>
      </c>
      <c r="O127" s="10">
        <v>0.65121692165148803</v>
      </c>
      <c r="P127" s="10">
        <v>0.65414847161572098</v>
      </c>
      <c r="Q127" s="10">
        <v>0.50801903410682703</v>
      </c>
      <c r="R127" s="10">
        <v>117774333.333333</v>
      </c>
      <c r="S127" s="10">
        <v>1847.7117715332799</v>
      </c>
      <c r="T127" s="2">
        <f t="shared" si="1"/>
        <v>0</v>
      </c>
      <c r="U127" s="26">
        <v>122.97499999999999</v>
      </c>
    </row>
    <row r="128" spans="1:21">
      <c r="A128" s="8" t="s">
        <v>153</v>
      </c>
      <c r="B128" s="7" t="s">
        <v>31</v>
      </c>
      <c r="C128" s="9">
        <v>927400000000</v>
      </c>
      <c r="D128" s="9">
        <v>3754500000000</v>
      </c>
      <c r="E128" s="9">
        <v>5890800000000</v>
      </c>
      <c r="F128" s="9">
        <v>1283500000000</v>
      </c>
      <c r="G128" s="9">
        <v>1297500000000</v>
      </c>
      <c r="H128" s="9">
        <v>626800000000</v>
      </c>
      <c r="I128" s="9">
        <v>538200000000</v>
      </c>
      <c r="J128" s="9">
        <v>0.59671210233433902</v>
      </c>
      <c r="K128" s="9">
        <v>0.84729219143576795</v>
      </c>
      <c r="L128" s="9">
        <v>0.77107902354072</v>
      </c>
      <c r="M128" s="9">
        <v>0.78160816500428199</v>
      </c>
      <c r="N128" s="9">
        <v>0.86004390779363304</v>
      </c>
      <c r="O128" s="9">
        <v>0.65840328151020999</v>
      </c>
      <c r="P128" s="9">
        <v>0.66349161468181705</v>
      </c>
      <c r="Q128" s="9">
        <v>0.51586183448829304</v>
      </c>
      <c r="R128" s="9">
        <v>119114333.333333</v>
      </c>
      <c r="S128" s="9">
        <v>1840.3746298513399</v>
      </c>
      <c r="T128" s="2">
        <f t="shared" si="1"/>
        <v>0</v>
      </c>
      <c r="U128" s="25">
        <v>128.85</v>
      </c>
    </row>
    <row r="129" spans="1:21">
      <c r="A129" s="8" t="s">
        <v>154</v>
      </c>
      <c r="B129" s="7" t="s">
        <v>31</v>
      </c>
      <c r="C129" s="10">
        <v>940100000000</v>
      </c>
      <c r="D129" s="10">
        <v>3800200000000</v>
      </c>
      <c r="E129" s="10">
        <v>5974700000000</v>
      </c>
      <c r="F129" s="10">
        <v>1269500000000</v>
      </c>
      <c r="G129" s="10">
        <v>1303300000000</v>
      </c>
      <c r="H129" s="10">
        <v>614800000000</v>
      </c>
      <c r="I129" s="10">
        <v>545900000000</v>
      </c>
      <c r="J129" s="10">
        <v>0.60261552849645905</v>
      </c>
      <c r="K129" s="10">
        <v>0.84885709842948198</v>
      </c>
      <c r="L129" s="10">
        <v>0.77726679046393199</v>
      </c>
      <c r="M129" s="10">
        <v>0.78327126947325998</v>
      </c>
      <c r="N129" s="10">
        <v>0.84496976360637699</v>
      </c>
      <c r="O129" s="10">
        <v>0.66520814545130702</v>
      </c>
      <c r="P129" s="10">
        <v>0.66947361003452899</v>
      </c>
      <c r="Q129" s="10">
        <v>0.52173712139699602</v>
      </c>
      <c r="R129" s="10">
        <v>118995333.333333</v>
      </c>
      <c r="S129" s="10">
        <v>1833.83976028753</v>
      </c>
      <c r="T129" s="2">
        <f t="shared" si="1"/>
        <v>0</v>
      </c>
      <c r="U129" s="26">
        <v>124.6</v>
      </c>
    </row>
    <row r="130" spans="1:21">
      <c r="A130" s="8" t="s">
        <v>155</v>
      </c>
      <c r="B130" s="7" t="s">
        <v>31</v>
      </c>
      <c r="C130" s="9">
        <v>949700000000</v>
      </c>
      <c r="D130" s="9">
        <v>3863400000000</v>
      </c>
      <c r="E130" s="9">
        <v>6029500000000</v>
      </c>
      <c r="F130" s="9">
        <v>1269500000000</v>
      </c>
      <c r="G130" s="9">
        <v>1291400000000</v>
      </c>
      <c r="H130" s="9">
        <v>630100000000</v>
      </c>
      <c r="I130" s="9">
        <v>555100000000</v>
      </c>
      <c r="J130" s="9">
        <v>0.61302420094019805</v>
      </c>
      <c r="K130" s="9">
        <v>0.85663580246913595</v>
      </c>
      <c r="L130" s="9">
        <v>0.78401306142890104</v>
      </c>
      <c r="M130" s="9">
        <v>0.79028280601485801</v>
      </c>
      <c r="N130" s="9">
        <v>0.86958321832735297</v>
      </c>
      <c r="O130" s="9">
        <v>0.671145048364296</v>
      </c>
      <c r="P130" s="9">
        <v>0.67787272121137698</v>
      </c>
      <c r="Q130" s="9">
        <v>0.52710626242236402</v>
      </c>
      <c r="R130" s="9">
        <v>118712000</v>
      </c>
      <c r="S130" s="9">
        <v>1827.43060103572</v>
      </c>
      <c r="T130" s="2">
        <f t="shared" si="1"/>
        <v>0</v>
      </c>
      <c r="U130" s="25">
        <v>123.4</v>
      </c>
    </row>
    <row r="131" spans="1:21">
      <c r="A131" s="8" t="s">
        <v>156</v>
      </c>
      <c r="B131" s="7" t="s">
        <v>31</v>
      </c>
      <c r="C131" s="10">
        <v>974700000000</v>
      </c>
      <c r="D131" s="10">
        <v>3884400000000</v>
      </c>
      <c r="E131" s="10">
        <v>6023300000000</v>
      </c>
      <c r="F131" s="10">
        <v>1254600000000</v>
      </c>
      <c r="G131" s="10">
        <v>1243300000000</v>
      </c>
      <c r="H131" s="10">
        <v>647300000000</v>
      </c>
      <c r="I131" s="10">
        <v>568200000000</v>
      </c>
      <c r="J131" s="10">
        <v>0.62343287338393705</v>
      </c>
      <c r="K131" s="10">
        <v>0.86920605782468996</v>
      </c>
      <c r="L131" s="10">
        <v>0.78956615331759505</v>
      </c>
      <c r="M131" s="10">
        <v>0.79824016740584103</v>
      </c>
      <c r="N131" s="10">
        <v>0.91789563244469696</v>
      </c>
      <c r="O131" s="10">
        <v>0.67621303635179697</v>
      </c>
      <c r="P131" s="10">
        <v>0.68675082210671501</v>
      </c>
      <c r="Q131" s="10">
        <v>0.53664761055338295</v>
      </c>
      <c r="R131" s="10">
        <v>118361000</v>
      </c>
      <c r="S131" s="10">
        <v>1822.3550088254101</v>
      </c>
      <c r="T131" s="2">
        <f t="shared" si="1"/>
        <v>0</v>
      </c>
      <c r="U131" s="26">
        <v>120.22499999999999</v>
      </c>
    </row>
    <row r="132" spans="1:21">
      <c r="A132" s="8" t="s">
        <v>157</v>
      </c>
      <c r="B132" s="7" t="s">
        <v>31</v>
      </c>
      <c r="C132" s="9">
        <v>996500000000</v>
      </c>
      <c r="D132" s="9">
        <v>3890200000000</v>
      </c>
      <c r="E132" s="9">
        <v>6054900000000</v>
      </c>
      <c r="F132" s="9">
        <v>1230800000000</v>
      </c>
      <c r="G132" s="9">
        <v>1215300000000</v>
      </c>
      <c r="H132" s="9">
        <v>620300000000</v>
      </c>
      <c r="I132" s="9">
        <v>573200000000</v>
      </c>
      <c r="J132" s="9">
        <v>0.62809347298561102</v>
      </c>
      <c r="K132" s="9">
        <v>0.87152197050326896</v>
      </c>
      <c r="L132" s="9">
        <v>0.80022697476598104</v>
      </c>
      <c r="M132" s="9">
        <v>0.81130838462119503</v>
      </c>
      <c r="N132" s="9">
        <v>0.88982929278439205</v>
      </c>
      <c r="O132" s="9">
        <v>0.68296561992420102</v>
      </c>
      <c r="P132" s="9">
        <v>0.69015558748913397</v>
      </c>
      <c r="Q132" s="9">
        <v>0.54311595378079103</v>
      </c>
      <c r="R132" s="9">
        <v>117782333.333333</v>
      </c>
      <c r="S132" s="9">
        <v>1819.1144328251401</v>
      </c>
      <c r="T132" s="2">
        <f t="shared" si="1"/>
        <v>0</v>
      </c>
      <c r="U132" s="25">
        <v>117.925</v>
      </c>
    </row>
    <row r="133" spans="1:21">
      <c r="A133" s="8" t="s">
        <v>158</v>
      </c>
      <c r="B133" s="7" t="s">
        <v>31</v>
      </c>
      <c r="C133" s="10">
        <v>1001400000000</v>
      </c>
      <c r="D133" s="10">
        <v>3943700000000</v>
      </c>
      <c r="E133" s="10">
        <v>6143600000000</v>
      </c>
      <c r="F133" s="10">
        <v>1239700000000</v>
      </c>
      <c r="G133" s="10">
        <v>1221700000000</v>
      </c>
      <c r="H133" s="10">
        <v>613900000000</v>
      </c>
      <c r="I133" s="10">
        <v>590700000000</v>
      </c>
      <c r="J133" s="10">
        <v>0.63182195266694996</v>
      </c>
      <c r="K133" s="10">
        <v>0.866637323943662</v>
      </c>
      <c r="L133" s="10">
        <v>0.80376517721284702</v>
      </c>
      <c r="M133" s="10">
        <v>0.81527033865074905</v>
      </c>
      <c r="N133" s="10">
        <v>0.86525722339675804</v>
      </c>
      <c r="O133" s="10">
        <v>0.68763431232091698</v>
      </c>
      <c r="P133" s="10">
        <v>0.69382477128782505</v>
      </c>
      <c r="Q133" s="10">
        <v>0.54570253083417597</v>
      </c>
      <c r="R133" s="10">
        <v>117729333.333333</v>
      </c>
      <c r="S133" s="10">
        <v>1817.69583880956</v>
      </c>
      <c r="T133" s="2">
        <f t="shared" si="1"/>
        <v>0</v>
      </c>
      <c r="U133" s="26">
        <v>118.8</v>
      </c>
    </row>
    <row r="134" spans="1:21">
      <c r="A134" s="8" t="s">
        <v>159</v>
      </c>
      <c r="B134" s="7" t="s">
        <v>31</v>
      </c>
      <c r="C134" s="9">
        <v>1006800000000</v>
      </c>
      <c r="D134" s="9">
        <v>3989600000000</v>
      </c>
      <c r="E134" s="9">
        <v>6218400000000</v>
      </c>
      <c r="F134" s="9">
        <v>1242200000000</v>
      </c>
      <c r="G134" s="9">
        <v>1243100000000</v>
      </c>
      <c r="H134" s="9">
        <v>621700000000</v>
      </c>
      <c r="I134" s="9">
        <v>600600000000</v>
      </c>
      <c r="J134" s="9">
        <v>0.63663790558868005</v>
      </c>
      <c r="K134" s="9">
        <v>0.86070507308684396</v>
      </c>
      <c r="L134" s="9">
        <v>0.80314576864061804</v>
      </c>
      <c r="M134" s="9">
        <v>0.81359668806327301</v>
      </c>
      <c r="N134" s="9">
        <v>0.85222755311857401</v>
      </c>
      <c r="O134" s="9">
        <v>0.69268042729996804</v>
      </c>
      <c r="P134" s="9">
        <v>0.69850829890048305</v>
      </c>
      <c r="Q134" s="9">
        <v>0.55178881646079103</v>
      </c>
      <c r="R134" s="9">
        <v>117660000</v>
      </c>
      <c r="S134" s="9">
        <v>1817.44825247842</v>
      </c>
      <c r="T134" s="2">
        <f t="shared" si="1"/>
        <v>0</v>
      </c>
      <c r="U134" s="25">
        <v>121.075</v>
      </c>
    </row>
    <row r="135" spans="1:21">
      <c r="A135" s="8" t="s">
        <v>160</v>
      </c>
      <c r="B135" s="7" t="s">
        <v>31</v>
      </c>
      <c r="C135" s="10">
        <v>1011500000000</v>
      </c>
      <c r="D135" s="10">
        <v>4017100000000</v>
      </c>
      <c r="E135" s="10">
        <v>6279300000000</v>
      </c>
      <c r="F135" s="10">
        <v>1242600000000</v>
      </c>
      <c r="G135" s="10">
        <v>1273800000000</v>
      </c>
      <c r="H135" s="10">
        <v>638300000000</v>
      </c>
      <c r="I135" s="10">
        <v>615200000000</v>
      </c>
      <c r="J135" s="10">
        <v>0.64191991847057805</v>
      </c>
      <c r="K135" s="10">
        <v>0.862228451296426</v>
      </c>
      <c r="L135" s="10">
        <v>0.80236284250462497</v>
      </c>
      <c r="M135" s="10">
        <v>0.80972511896443</v>
      </c>
      <c r="N135" s="10">
        <v>0.85608905579399097</v>
      </c>
      <c r="O135" s="10">
        <v>0.69643094805021999</v>
      </c>
      <c r="P135" s="10">
        <v>0.70350781947776697</v>
      </c>
      <c r="Q135" s="10">
        <v>0.55699550347847104</v>
      </c>
      <c r="R135" s="10">
        <v>117678666.666667</v>
      </c>
      <c r="S135" s="10">
        <v>1817.7414758868699</v>
      </c>
      <c r="T135" s="2">
        <f t="shared" si="1"/>
        <v>0</v>
      </c>
      <c r="U135" s="26">
        <v>119.375</v>
      </c>
    </row>
    <row r="136" spans="1:21">
      <c r="A136" s="8" t="s">
        <v>161</v>
      </c>
      <c r="B136" s="7" t="s">
        <v>31</v>
      </c>
      <c r="C136" s="9">
        <v>1026600000000</v>
      </c>
      <c r="D136" s="9">
        <v>4117700000000</v>
      </c>
      <c r="E136" s="9">
        <v>6380800000000</v>
      </c>
      <c r="F136" s="9">
        <v>1256900000000</v>
      </c>
      <c r="G136" s="9">
        <v>1257000000000</v>
      </c>
      <c r="H136" s="9">
        <v>645800000000</v>
      </c>
      <c r="I136" s="9">
        <v>625300000000</v>
      </c>
      <c r="J136" s="9">
        <v>0.64626981143214002</v>
      </c>
      <c r="K136" s="9">
        <v>0.86082048458149796</v>
      </c>
      <c r="L136" s="9">
        <v>0.80018542882449095</v>
      </c>
      <c r="M136" s="9">
        <v>0.80835487710439402</v>
      </c>
      <c r="N136" s="9">
        <v>0.85992010652463402</v>
      </c>
      <c r="O136" s="9">
        <v>0.69941905075084998</v>
      </c>
      <c r="P136" s="9">
        <v>0.70783696904061999</v>
      </c>
      <c r="Q136" s="9">
        <v>0.56333834667337002</v>
      </c>
      <c r="R136" s="9">
        <v>117958333.333333</v>
      </c>
      <c r="S136" s="9">
        <v>1818.4001960977</v>
      </c>
      <c r="T136" s="2">
        <f t="shared" si="1"/>
        <v>0</v>
      </c>
      <c r="U136" s="25">
        <v>124.05</v>
      </c>
    </row>
    <row r="137" spans="1:21">
      <c r="A137" s="8" t="s">
        <v>162</v>
      </c>
      <c r="B137" s="7" t="s">
        <v>31</v>
      </c>
      <c r="C137" s="10">
        <v>1040900000000</v>
      </c>
      <c r="D137" s="10">
        <v>4173400000000</v>
      </c>
      <c r="E137" s="10">
        <v>6492300000000</v>
      </c>
      <c r="F137" s="10">
        <v>1287600000000</v>
      </c>
      <c r="G137" s="10">
        <v>1310800000000</v>
      </c>
      <c r="H137" s="10">
        <v>659000000000</v>
      </c>
      <c r="I137" s="10">
        <v>626200000000</v>
      </c>
      <c r="J137" s="10">
        <v>0.65124111767392601</v>
      </c>
      <c r="K137" s="10">
        <v>0.86170359157836796</v>
      </c>
      <c r="L137" s="10">
        <v>0.79787645479210501</v>
      </c>
      <c r="M137" s="10">
        <v>0.80443207863678701</v>
      </c>
      <c r="N137" s="10">
        <v>0.86324338485721797</v>
      </c>
      <c r="O137" s="10">
        <v>0.70388681086355498</v>
      </c>
      <c r="P137" s="10">
        <v>0.71252475585604003</v>
      </c>
      <c r="Q137" s="10">
        <v>0.56999225508557105</v>
      </c>
      <c r="R137" s="10">
        <v>118406666.666667</v>
      </c>
      <c r="S137" s="10">
        <v>1819.11728556656</v>
      </c>
      <c r="T137" s="2">
        <f t="shared" ref="T137:T200" si="2">E137-(C137+D137+G137+I137-H137)</f>
        <v>0</v>
      </c>
      <c r="U137" s="26">
        <v>125.25</v>
      </c>
    </row>
    <row r="138" spans="1:21">
      <c r="A138" s="8" t="s">
        <v>163</v>
      </c>
      <c r="B138" s="7" t="s">
        <v>31</v>
      </c>
      <c r="C138" s="9">
        <v>1061100000000</v>
      </c>
      <c r="D138" s="9">
        <v>4245400000000</v>
      </c>
      <c r="E138" s="9">
        <v>6586500000000</v>
      </c>
      <c r="F138" s="9">
        <v>1298000000000</v>
      </c>
      <c r="G138" s="9">
        <v>1318500000000</v>
      </c>
      <c r="H138" s="9">
        <v>677900000000</v>
      </c>
      <c r="I138" s="9">
        <v>639400000000</v>
      </c>
      <c r="J138" s="9">
        <v>0.656212423915711</v>
      </c>
      <c r="K138" s="9">
        <v>0.861608947581189</v>
      </c>
      <c r="L138" s="9">
        <v>0.79744700463907703</v>
      </c>
      <c r="M138" s="9">
        <v>0.80506981202749595</v>
      </c>
      <c r="N138" s="9">
        <v>0.87425844725303103</v>
      </c>
      <c r="O138" s="9">
        <v>0.70722200747326402</v>
      </c>
      <c r="P138" s="9">
        <v>0.71705570381380301</v>
      </c>
      <c r="Q138" s="9">
        <v>0.57535620856828595</v>
      </c>
      <c r="R138" s="9">
        <v>118753000</v>
      </c>
      <c r="S138" s="9">
        <v>1820.3110193202399</v>
      </c>
      <c r="T138" s="2">
        <f t="shared" si="2"/>
        <v>0</v>
      </c>
      <c r="U138" s="25">
        <v>128.02500000000001</v>
      </c>
    </row>
    <row r="139" spans="1:21">
      <c r="A139" s="8" t="s">
        <v>164</v>
      </c>
      <c r="B139" s="7" t="s">
        <v>31</v>
      </c>
      <c r="C139" s="10">
        <v>1068300000000</v>
      </c>
      <c r="D139" s="10">
        <v>4326200000000</v>
      </c>
      <c r="E139" s="10">
        <v>6697600000000</v>
      </c>
      <c r="F139" s="10">
        <v>1328800000000</v>
      </c>
      <c r="G139" s="10">
        <v>1350200000000</v>
      </c>
      <c r="H139" s="10">
        <v>688500000000</v>
      </c>
      <c r="I139" s="10">
        <v>641400000000</v>
      </c>
      <c r="J139" s="10">
        <v>0.66196049675777602</v>
      </c>
      <c r="K139" s="10">
        <v>0.85990079099074901</v>
      </c>
      <c r="L139" s="10">
        <v>0.79891304982488598</v>
      </c>
      <c r="M139" s="10">
        <v>0.80610042938412596</v>
      </c>
      <c r="N139" s="10">
        <v>0.86712846347607098</v>
      </c>
      <c r="O139" s="10">
        <v>0.71201828522830002</v>
      </c>
      <c r="P139" s="10">
        <v>0.722104454941497</v>
      </c>
      <c r="Q139" s="10">
        <v>0.57735841302830804</v>
      </c>
      <c r="R139" s="10">
        <v>118833666.666667</v>
      </c>
      <c r="S139" s="10">
        <v>1822.1714990155001</v>
      </c>
      <c r="T139" s="2">
        <f t="shared" si="2"/>
        <v>0</v>
      </c>
      <c r="U139" s="26">
        <v>130.77500000000001</v>
      </c>
    </row>
    <row r="140" spans="1:21">
      <c r="A140" s="8" t="s">
        <v>165</v>
      </c>
      <c r="B140" s="7" t="s">
        <v>31</v>
      </c>
      <c r="C140" s="9">
        <v>1063000000000</v>
      </c>
      <c r="D140" s="9">
        <v>4368500000000</v>
      </c>
      <c r="E140" s="9">
        <v>6748200000000</v>
      </c>
      <c r="F140" s="9">
        <v>1336400000000</v>
      </c>
      <c r="G140" s="9">
        <v>1372400000000</v>
      </c>
      <c r="H140" s="9">
        <v>699300000000</v>
      </c>
      <c r="I140" s="9">
        <v>643600000000</v>
      </c>
      <c r="J140" s="9">
        <v>0.666776449679506</v>
      </c>
      <c r="K140" s="9">
        <v>0.86088817549491703</v>
      </c>
      <c r="L140" s="9">
        <v>0.80306693888472203</v>
      </c>
      <c r="M140" s="9">
        <v>0.807661069108914</v>
      </c>
      <c r="N140" s="9">
        <v>0.86205621301775104</v>
      </c>
      <c r="O140" s="9">
        <v>0.71605776678940203</v>
      </c>
      <c r="P140" s="9">
        <v>0.72641258438923795</v>
      </c>
      <c r="Q140" s="9">
        <v>0.579449254209638</v>
      </c>
      <c r="R140" s="9">
        <v>119297333.333333</v>
      </c>
      <c r="S140" s="9">
        <v>1825.1722653317699</v>
      </c>
      <c r="T140" s="2">
        <f t="shared" si="2"/>
        <v>0</v>
      </c>
      <c r="U140" s="25">
        <v>131.97499999999999</v>
      </c>
    </row>
    <row r="141" spans="1:21">
      <c r="A141" s="8" t="s">
        <v>166</v>
      </c>
      <c r="B141" s="7" t="s">
        <v>31</v>
      </c>
      <c r="C141" s="10">
        <v>1067500000000</v>
      </c>
      <c r="D141" s="10">
        <v>4437500000000</v>
      </c>
      <c r="E141" s="10">
        <v>6829600000000</v>
      </c>
      <c r="F141" s="10">
        <v>1363800000000</v>
      </c>
      <c r="G141" s="10">
        <v>1387800000000</v>
      </c>
      <c r="H141" s="10">
        <v>716300000000</v>
      </c>
      <c r="I141" s="10">
        <v>653100000000</v>
      </c>
      <c r="J141" s="10">
        <v>0.67159240260123598</v>
      </c>
      <c r="K141" s="10">
        <v>0.86331791143423697</v>
      </c>
      <c r="L141" s="10">
        <v>0.80279000725794103</v>
      </c>
      <c r="M141" s="10">
        <v>0.80931839368311398</v>
      </c>
      <c r="N141" s="10">
        <v>0.86520111124531995</v>
      </c>
      <c r="O141" s="10">
        <v>0.72041434162086904</v>
      </c>
      <c r="P141" s="10">
        <v>0.73131942384389703</v>
      </c>
      <c r="Q141" s="10">
        <v>0.58433226810768601</v>
      </c>
      <c r="R141" s="10">
        <v>119959666.666667</v>
      </c>
      <c r="S141" s="10">
        <v>1827.8754623448599</v>
      </c>
      <c r="T141" s="2">
        <f t="shared" si="2"/>
        <v>0</v>
      </c>
      <c r="U141" s="26">
        <v>136.94999999999999</v>
      </c>
    </row>
    <row r="142" spans="1:21">
      <c r="A142" s="8" t="s">
        <v>167</v>
      </c>
      <c r="B142" s="7" t="s">
        <v>31</v>
      </c>
      <c r="C142" s="9">
        <v>1079200000000</v>
      </c>
      <c r="D142" s="9">
        <v>4506000000000</v>
      </c>
      <c r="E142" s="9">
        <v>6904200000000</v>
      </c>
      <c r="F142" s="9">
        <v>1380700000000</v>
      </c>
      <c r="G142" s="9">
        <v>1387400000000</v>
      </c>
      <c r="H142" s="9">
        <v>719300000000</v>
      </c>
      <c r="I142" s="9">
        <v>650900000000</v>
      </c>
      <c r="J142" s="9">
        <v>0.674699469002352</v>
      </c>
      <c r="K142" s="9">
        <v>0.86269052352551401</v>
      </c>
      <c r="L142" s="9">
        <v>0.80411718290355405</v>
      </c>
      <c r="M142" s="9">
        <v>0.811921889383591</v>
      </c>
      <c r="N142" s="9">
        <v>0.85753457319980897</v>
      </c>
      <c r="O142" s="9">
        <v>0.724751477488637</v>
      </c>
      <c r="P142" s="9">
        <v>0.734498272152311</v>
      </c>
      <c r="Q142" s="9">
        <v>0.59055398072440402</v>
      </c>
      <c r="R142" s="9">
        <v>120625666.666667</v>
      </c>
      <c r="S142" s="9">
        <v>1830.4108897184101</v>
      </c>
      <c r="T142" s="2">
        <f t="shared" si="2"/>
        <v>0</v>
      </c>
      <c r="U142" s="25">
        <v>139.15</v>
      </c>
    </row>
    <row r="143" spans="1:21">
      <c r="A143" s="8" t="s">
        <v>168</v>
      </c>
      <c r="B143" s="7" t="s">
        <v>31</v>
      </c>
      <c r="C143" s="10">
        <v>1087000000000</v>
      </c>
      <c r="D143" s="10">
        <v>4572000000000</v>
      </c>
      <c r="E143" s="10">
        <v>7032800000000</v>
      </c>
      <c r="F143" s="10">
        <v>1430700000000</v>
      </c>
      <c r="G143" s="10">
        <v>1447200000000</v>
      </c>
      <c r="H143" s="10">
        <v>745000000000</v>
      </c>
      <c r="I143" s="10">
        <v>671600000000</v>
      </c>
      <c r="J143" s="10">
        <v>0.68029218852436102</v>
      </c>
      <c r="K143" s="10">
        <v>0.86224162280138705</v>
      </c>
      <c r="L143" s="10">
        <v>0.80298999583082398</v>
      </c>
      <c r="M143" s="10">
        <v>0.81142325001674098</v>
      </c>
      <c r="N143" s="10">
        <v>0.85386819484240695</v>
      </c>
      <c r="O143" s="10">
        <v>0.72852333350598197</v>
      </c>
      <c r="P143" s="10">
        <v>0.73871806886300095</v>
      </c>
      <c r="Q143" s="10">
        <v>0.59326284693113995</v>
      </c>
      <c r="R143" s="10">
        <v>121152000</v>
      </c>
      <c r="S143" s="10">
        <v>1832.5413826049601</v>
      </c>
      <c r="T143" s="2">
        <f t="shared" si="2"/>
        <v>0</v>
      </c>
      <c r="U143" s="26">
        <v>143.44999999999999</v>
      </c>
    </row>
    <row r="144" spans="1:21">
      <c r="A144" s="8" t="s">
        <v>169</v>
      </c>
      <c r="B144" s="7" t="s">
        <v>31</v>
      </c>
      <c r="C144" s="9">
        <v>1090700000000</v>
      </c>
      <c r="D144" s="9">
        <v>4640900000000</v>
      </c>
      <c r="E144" s="9">
        <v>7136300000000</v>
      </c>
      <c r="F144" s="9">
        <v>1440000000000</v>
      </c>
      <c r="G144" s="9">
        <v>1485300000000</v>
      </c>
      <c r="H144" s="9">
        <v>761800000000</v>
      </c>
      <c r="I144" s="9">
        <v>681200000000</v>
      </c>
      <c r="J144" s="9">
        <v>0.68370996156558905</v>
      </c>
      <c r="K144" s="9">
        <v>0.866115702479339</v>
      </c>
      <c r="L144" s="9">
        <v>0.80645708024894103</v>
      </c>
      <c r="M144" s="9">
        <v>0.81092797395007699</v>
      </c>
      <c r="N144" s="9">
        <v>0.85317504759771501</v>
      </c>
      <c r="O144" s="9">
        <v>0.732063355286104</v>
      </c>
      <c r="P144" s="9">
        <v>0.74134598488841996</v>
      </c>
      <c r="Q144" s="9">
        <v>0.59703157360660697</v>
      </c>
      <c r="R144" s="9">
        <v>121994000</v>
      </c>
      <c r="S144" s="9">
        <v>1833.97453229353</v>
      </c>
      <c r="T144" s="2">
        <f t="shared" si="2"/>
        <v>0</v>
      </c>
      <c r="U144" s="25">
        <v>147.19999999999999</v>
      </c>
    </row>
    <row r="145" spans="1:21">
      <c r="A145" s="8" t="s">
        <v>170</v>
      </c>
      <c r="B145" s="7" t="s">
        <v>31</v>
      </c>
      <c r="C145" s="10">
        <v>1102000000000</v>
      </c>
      <c r="D145" s="10">
        <v>4702900000000</v>
      </c>
      <c r="E145" s="10">
        <v>7269800000000</v>
      </c>
      <c r="F145" s="10">
        <v>1474000000000</v>
      </c>
      <c r="G145" s="10">
        <v>1555500000000</v>
      </c>
      <c r="H145" s="10">
        <v>797600000000</v>
      </c>
      <c r="I145" s="10">
        <v>707000000000</v>
      </c>
      <c r="J145" s="10">
        <v>0.687593794566984</v>
      </c>
      <c r="K145" s="10">
        <v>0.86951174517279595</v>
      </c>
      <c r="L145" s="10">
        <v>0.80651921898478796</v>
      </c>
      <c r="M145" s="10">
        <v>0.807257499523102</v>
      </c>
      <c r="N145" s="10">
        <v>0.86124608573588202</v>
      </c>
      <c r="O145" s="10">
        <v>0.73570546683668303</v>
      </c>
      <c r="P145" s="10">
        <v>0.745474431728117</v>
      </c>
      <c r="Q145" s="10">
        <v>0.60256463281661599</v>
      </c>
      <c r="R145" s="10">
        <v>122596000</v>
      </c>
      <c r="S145" s="10">
        <v>1835.7929662710401</v>
      </c>
      <c r="T145" s="2">
        <f t="shared" si="2"/>
        <v>0</v>
      </c>
      <c r="U145" s="26">
        <v>149.67500000000001</v>
      </c>
    </row>
    <row r="146" spans="1:21">
      <c r="A146" s="8" t="s">
        <v>171</v>
      </c>
      <c r="B146" s="7" t="s">
        <v>31</v>
      </c>
      <c r="C146" s="9">
        <v>1122000000000</v>
      </c>
      <c r="D146" s="9">
        <v>4773100000000</v>
      </c>
      <c r="E146" s="9">
        <v>7352300000000</v>
      </c>
      <c r="F146" s="9">
        <v>1500600000000</v>
      </c>
      <c r="G146" s="9">
        <v>1554100000000</v>
      </c>
      <c r="H146" s="9">
        <v>833800000000</v>
      </c>
      <c r="I146" s="9">
        <v>736900000000</v>
      </c>
      <c r="J146" s="9">
        <v>0.69396328068927204</v>
      </c>
      <c r="K146" s="9">
        <v>0.87362181387077698</v>
      </c>
      <c r="L146" s="9">
        <v>0.80838721809831704</v>
      </c>
      <c r="M146" s="9">
        <v>0.81284935926081203</v>
      </c>
      <c r="N146" s="9">
        <v>0.87565637471119495</v>
      </c>
      <c r="O146" s="9">
        <v>0.73969033270621898</v>
      </c>
      <c r="P146" s="9">
        <v>0.75078254030672398</v>
      </c>
      <c r="Q146" s="9">
        <v>0.60670462834932004</v>
      </c>
      <c r="R146" s="9">
        <v>123245000</v>
      </c>
      <c r="S146" s="9">
        <v>1837.9163134799001</v>
      </c>
      <c r="T146" s="2">
        <f t="shared" si="2"/>
        <v>0</v>
      </c>
      <c r="U146" s="25">
        <v>152.32499999999999</v>
      </c>
    </row>
    <row r="147" spans="1:21">
      <c r="A147" s="8" t="s">
        <v>172</v>
      </c>
      <c r="B147" s="7" t="s">
        <v>31</v>
      </c>
      <c r="C147" s="10">
        <v>1123500000000</v>
      </c>
      <c r="D147" s="10">
        <v>4847200000000</v>
      </c>
      <c r="E147" s="10">
        <v>7476700000000</v>
      </c>
      <c r="F147" s="10">
        <v>1532700000000</v>
      </c>
      <c r="G147" s="10">
        <v>1608000000000</v>
      </c>
      <c r="H147" s="10">
        <v>860600000000</v>
      </c>
      <c r="I147" s="10">
        <v>758600000000</v>
      </c>
      <c r="J147" s="10">
        <v>0.69800246701072199</v>
      </c>
      <c r="K147" s="10">
        <v>0.87902665121668599</v>
      </c>
      <c r="L147" s="10">
        <v>0.80997341189009997</v>
      </c>
      <c r="M147" s="10">
        <v>0.812254799359443</v>
      </c>
      <c r="N147" s="10">
        <v>0.87906026557711903</v>
      </c>
      <c r="O147" s="10">
        <v>0.743765232529222</v>
      </c>
      <c r="P147" s="10">
        <v>0.75432235173283102</v>
      </c>
      <c r="Q147" s="10">
        <v>0.61162751238953295</v>
      </c>
      <c r="R147" s="10">
        <v>124449666.666667</v>
      </c>
      <c r="S147" s="10">
        <v>1840.31618795554</v>
      </c>
      <c r="T147" s="2">
        <f t="shared" si="2"/>
        <v>0</v>
      </c>
      <c r="U147" s="26">
        <v>157.94999999999999</v>
      </c>
    </row>
    <row r="148" spans="1:21">
      <c r="A148" s="8" t="s">
        <v>173</v>
      </c>
      <c r="B148" s="7" t="s">
        <v>31</v>
      </c>
      <c r="C148" s="9">
        <v>1134500000000</v>
      </c>
      <c r="D148" s="9">
        <v>4883300000000</v>
      </c>
      <c r="E148" s="9">
        <v>7545300000000</v>
      </c>
      <c r="F148" s="9">
        <v>1571600000000</v>
      </c>
      <c r="G148" s="9">
        <v>1632800000000</v>
      </c>
      <c r="H148" s="9">
        <v>886900000000</v>
      </c>
      <c r="I148" s="9">
        <v>781600000000</v>
      </c>
      <c r="J148" s="9">
        <v>0.70312912657256399</v>
      </c>
      <c r="K148" s="9">
        <v>0.88858572078217402</v>
      </c>
      <c r="L148" s="9">
        <v>0.81493388644023901</v>
      </c>
      <c r="M148" s="9">
        <v>0.82029640793770398</v>
      </c>
      <c r="N148" s="9">
        <v>0.88654538184726095</v>
      </c>
      <c r="O148" s="9">
        <v>0.74802962257978201</v>
      </c>
      <c r="P148" s="9">
        <v>0.75793509134085602</v>
      </c>
      <c r="Q148" s="9">
        <v>0.61633596925270895</v>
      </c>
      <c r="R148" s="9">
        <v>124848666.666667</v>
      </c>
      <c r="S148" s="9">
        <v>1843.74568334422</v>
      </c>
      <c r="T148" s="2">
        <f t="shared" si="2"/>
        <v>0</v>
      </c>
      <c r="U148" s="25">
        <v>155.32499999999999</v>
      </c>
    </row>
    <row r="149" spans="1:21">
      <c r="A149" s="8" t="s">
        <v>174</v>
      </c>
      <c r="B149" s="7" t="s">
        <v>31</v>
      </c>
      <c r="C149" s="10">
        <v>1145600000000</v>
      </c>
      <c r="D149" s="10">
        <v>4955000000000</v>
      </c>
      <c r="E149" s="10">
        <v>7604900000000</v>
      </c>
      <c r="F149" s="10">
        <v>1580200000000</v>
      </c>
      <c r="G149" s="10">
        <v>1613700000000</v>
      </c>
      <c r="H149" s="10">
        <v>908300000000</v>
      </c>
      <c r="I149" s="10">
        <v>798900000000</v>
      </c>
      <c r="J149" s="10">
        <v>0.70887719941462901</v>
      </c>
      <c r="K149" s="10">
        <v>0.89572822065253999</v>
      </c>
      <c r="L149" s="10">
        <v>0.81858682138416905</v>
      </c>
      <c r="M149" s="10">
        <v>0.82340034697418096</v>
      </c>
      <c r="N149" s="10">
        <v>0.89939597979997998</v>
      </c>
      <c r="O149" s="10">
        <v>0.75131642643325003</v>
      </c>
      <c r="P149" s="10">
        <v>0.76222560647314896</v>
      </c>
      <c r="Q149" s="10">
        <v>0.62084140515770503</v>
      </c>
      <c r="R149" s="10">
        <v>124629333.333333</v>
      </c>
      <c r="S149" s="10">
        <v>1844.9896986731401</v>
      </c>
      <c r="T149" s="2">
        <f t="shared" si="2"/>
        <v>0</v>
      </c>
      <c r="U149" s="26">
        <v>156.72499999999999</v>
      </c>
    </row>
    <row r="150" spans="1:21">
      <c r="A150" s="8" t="s">
        <v>175</v>
      </c>
      <c r="B150" s="7" t="s">
        <v>31</v>
      </c>
      <c r="C150" s="9">
        <v>1150700000000</v>
      </c>
      <c r="D150" s="9">
        <v>5020500000000</v>
      </c>
      <c r="E150" s="9">
        <v>7706500000000</v>
      </c>
      <c r="F150" s="9">
        <v>1598600000000</v>
      </c>
      <c r="G150" s="9">
        <v>1609700000000</v>
      </c>
      <c r="H150" s="9">
        <v>905800000000</v>
      </c>
      <c r="I150" s="9">
        <v>831400000000</v>
      </c>
      <c r="J150" s="9">
        <v>0.71245032577591205</v>
      </c>
      <c r="K150" s="9">
        <v>0.893498119290704</v>
      </c>
      <c r="L150" s="9">
        <v>0.821479958890031</v>
      </c>
      <c r="M150" s="9">
        <v>0.827949799403354</v>
      </c>
      <c r="N150" s="9">
        <v>0.89382277481744599</v>
      </c>
      <c r="O150" s="9">
        <v>0.75488793981662905</v>
      </c>
      <c r="P150" s="9">
        <v>0.76528512415590799</v>
      </c>
      <c r="Q150" s="9">
        <v>0.62260422856991005</v>
      </c>
      <c r="R150" s="9">
        <v>124933666.666667</v>
      </c>
      <c r="S150" s="9">
        <v>1844.64232662788</v>
      </c>
      <c r="T150" s="2">
        <f t="shared" si="2"/>
        <v>0</v>
      </c>
      <c r="U150" s="25">
        <v>160.625</v>
      </c>
    </row>
    <row r="151" spans="1:21">
      <c r="A151" s="8" t="s">
        <v>176</v>
      </c>
      <c r="B151" s="7" t="s">
        <v>31</v>
      </c>
      <c r="C151" s="10">
        <v>1147200000000</v>
      </c>
      <c r="D151" s="10">
        <v>5077900000000</v>
      </c>
      <c r="E151" s="10">
        <v>7799500000000</v>
      </c>
      <c r="F151" s="10">
        <v>1625600000000</v>
      </c>
      <c r="G151" s="10">
        <v>1644200000000</v>
      </c>
      <c r="H151" s="10">
        <v>909200000000</v>
      </c>
      <c r="I151" s="10">
        <v>839400000000</v>
      </c>
      <c r="J151" s="10">
        <v>0.716334158777307</v>
      </c>
      <c r="K151" s="10">
        <v>0.88938334392879803</v>
      </c>
      <c r="L151" s="10">
        <v>0.82217276957313401</v>
      </c>
      <c r="M151" s="10">
        <v>0.82898053846929498</v>
      </c>
      <c r="N151" s="10">
        <v>0.885814497272019</v>
      </c>
      <c r="O151" s="10">
        <v>0.75861767108897804</v>
      </c>
      <c r="P151" s="10">
        <v>0.76863344635505004</v>
      </c>
      <c r="Q151" s="10">
        <v>0.62932145592709399</v>
      </c>
      <c r="R151" s="10">
        <v>125221333.333333</v>
      </c>
      <c r="S151" s="10">
        <v>1842.6222913547599</v>
      </c>
      <c r="T151" s="2">
        <f t="shared" si="2"/>
        <v>0</v>
      </c>
      <c r="U151" s="26">
        <v>163.05000000000001</v>
      </c>
    </row>
    <row r="152" spans="1:21">
      <c r="A152" s="8" t="s">
        <v>177</v>
      </c>
      <c r="B152" s="7" t="s">
        <v>31</v>
      </c>
      <c r="C152" s="9">
        <v>1158200000000</v>
      </c>
      <c r="D152" s="9">
        <v>5153800000000</v>
      </c>
      <c r="E152" s="9">
        <v>7893100000000</v>
      </c>
      <c r="F152" s="9">
        <v>1663100000000</v>
      </c>
      <c r="G152" s="9">
        <v>1669900000000</v>
      </c>
      <c r="H152" s="9">
        <v>936700000000</v>
      </c>
      <c r="I152" s="9">
        <v>847900000000</v>
      </c>
      <c r="J152" s="9">
        <v>0.72270364489959504</v>
      </c>
      <c r="K152" s="9">
        <v>0.88766750418760498</v>
      </c>
      <c r="L152" s="9">
        <v>0.82246179714158596</v>
      </c>
      <c r="M152" s="9">
        <v>0.82972274669581603</v>
      </c>
      <c r="N152" s="9">
        <v>0.88392941398508995</v>
      </c>
      <c r="O152" s="9">
        <v>0.76271415733377101</v>
      </c>
      <c r="P152" s="9">
        <v>0.77295019272012799</v>
      </c>
      <c r="Q152" s="9">
        <v>0.63300093993762097</v>
      </c>
      <c r="R152" s="9">
        <v>125542000</v>
      </c>
      <c r="S152" s="9">
        <v>1837.3041367533101</v>
      </c>
      <c r="T152" s="2">
        <f t="shared" si="2"/>
        <v>0</v>
      </c>
      <c r="U152" s="25">
        <v>164.95</v>
      </c>
    </row>
    <row r="153" spans="1:21">
      <c r="A153" s="8" t="s">
        <v>178</v>
      </c>
      <c r="B153" s="7" t="s">
        <v>31</v>
      </c>
      <c r="C153" s="10">
        <v>1174600000000</v>
      </c>
      <c r="D153" s="10">
        <v>5244100000000</v>
      </c>
      <c r="E153" s="10">
        <v>8061500000000</v>
      </c>
      <c r="F153" s="10">
        <v>1705900000000</v>
      </c>
      <c r="G153" s="10">
        <v>1736600000000</v>
      </c>
      <c r="H153" s="10">
        <v>952800000000</v>
      </c>
      <c r="I153" s="10">
        <v>859000000000</v>
      </c>
      <c r="J153" s="10">
        <v>0.72891777770182697</v>
      </c>
      <c r="K153" s="10">
        <v>0.88492840218399105</v>
      </c>
      <c r="L153" s="10">
        <v>0.82006537832900706</v>
      </c>
      <c r="M153" s="10">
        <v>0.82758292032024405</v>
      </c>
      <c r="N153" s="10">
        <v>0.879453572087872</v>
      </c>
      <c r="O153" s="10">
        <v>0.76561817387505504</v>
      </c>
      <c r="P153" s="10">
        <v>0.77804483613002795</v>
      </c>
      <c r="Q153" s="10">
        <v>0.63432349065560101</v>
      </c>
      <c r="R153" s="10">
        <v>126280000</v>
      </c>
      <c r="S153" s="10">
        <v>1834.5656011061001</v>
      </c>
      <c r="T153" s="2">
        <f t="shared" si="2"/>
        <v>0</v>
      </c>
      <c r="U153" s="26">
        <v>169.07499999999999</v>
      </c>
    </row>
    <row r="154" spans="1:21">
      <c r="A154" s="8" t="s">
        <v>179</v>
      </c>
      <c r="B154" s="7" t="s">
        <v>31</v>
      </c>
      <c r="C154" s="9">
        <v>1178800000000</v>
      </c>
      <c r="D154" s="9">
        <v>5298300000000</v>
      </c>
      <c r="E154" s="9">
        <v>8159000000000</v>
      </c>
      <c r="F154" s="9">
        <v>1745000000000</v>
      </c>
      <c r="G154" s="9">
        <v>1796100000000</v>
      </c>
      <c r="H154" s="9">
        <v>973800000000</v>
      </c>
      <c r="I154" s="9">
        <v>859600000000</v>
      </c>
      <c r="J154" s="9">
        <v>0.73311231734333404</v>
      </c>
      <c r="K154" s="9">
        <v>0.87839771101573705</v>
      </c>
      <c r="L154" s="9">
        <v>0.82202751083474701</v>
      </c>
      <c r="M154" s="9">
        <v>0.82333256933302801</v>
      </c>
      <c r="N154" s="9">
        <v>0.87055247630967303</v>
      </c>
      <c r="O154" s="9">
        <v>0.76777581209771495</v>
      </c>
      <c r="P154" s="9">
        <v>0.781379503591075</v>
      </c>
      <c r="Q154" s="9">
        <v>0.63947015012355002</v>
      </c>
      <c r="R154" s="9">
        <v>127218333.333333</v>
      </c>
      <c r="S154" s="9">
        <v>1833.43653117537</v>
      </c>
      <c r="T154" s="2">
        <f t="shared" si="2"/>
        <v>0</v>
      </c>
      <c r="U154" s="25">
        <v>169.85</v>
      </c>
    </row>
    <row r="155" spans="1:21">
      <c r="A155" s="8" t="s">
        <v>180</v>
      </c>
      <c r="B155" s="7" t="s">
        <v>31</v>
      </c>
      <c r="C155" s="10">
        <v>1194400000000</v>
      </c>
      <c r="D155" s="10">
        <v>5376100000000</v>
      </c>
      <c r="E155" s="10">
        <v>8287100000000</v>
      </c>
      <c r="F155" s="10">
        <v>1770800000000</v>
      </c>
      <c r="G155" s="10">
        <v>1805400000000</v>
      </c>
      <c r="H155" s="10">
        <v>992600000000</v>
      </c>
      <c r="I155" s="10">
        <v>903800000000</v>
      </c>
      <c r="J155" s="10">
        <v>0.73948180346562198</v>
      </c>
      <c r="K155" s="10">
        <v>0.86937283570604096</v>
      </c>
      <c r="L155" s="10">
        <v>0.82171693735498796</v>
      </c>
      <c r="M155" s="10">
        <v>0.82596760911336797</v>
      </c>
      <c r="N155" s="10">
        <v>0.87024373136945499</v>
      </c>
      <c r="O155" s="10">
        <v>0.77167546628674699</v>
      </c>
      <c r="P155" s="10">
        <v>0.78666959321041896</v>
      </c>
      <c r="Q155" s="10">
        <v>0.64232082975016402</v>
      </c>
      <c r="R155" s="10">
        <v>127840333.333333</v>
      </c>
      <c r="S155" s="10">
        <v>1834.6937309652301</v>
      </c>
      <c r="T155" s="2">
        <f t="shared" si="2"/>
        <v>0</v>
      </c>
      <c r="U155" s="26">
        <v>172.4</v>
      </c>
    </row>
    <row r="156" spans="1:21">
      <c r="A156" s="8" t="s">
        <v>181</v>
      </c>
      <c r="B156" s="7" t="s">
        <v>31</v>
      </c>
      <c r="C156" s="9">
        <v>1201800000000</v>
      </c>
      <c r="D156" s="9">
        <v>5456700000000</v>
      </c>
      <c r="E156" s="9">
        <v>8402100000000</v>
      </c>
      <c r="F156" s="9">
        <v>1802600000000</v>
      </c>
      <c r="G156" s="9">
        <v>1852400000000</v>
      </c>
      <c r="H156" s="9">
        <v>1027200000000</v>
      </c>
      <c r="I156" s="9">
        <v>918400000000</v>
      </c>
      <c r="J156" s="9">
        <v>0.74398704974723995</v>
      </c>
      <c r="K156" s="9">
        <v>0.86690579573343396</v>
      </c>
      <c r="L156" s="9">
        <v>0.82287957637177001</v>
      </c>
      <c r="M156" s="9">
        <v>0.83149295268875101</v>
      </c>
      <c r="N156" s="9">
        <v>0.86370133692087803</v>
      </c>
      <c r="O156" s="9">
        <v>0.77646960973671297</v>
      </c>
      <c r="P156" s="9">
        <v>0.79012756838157605</v>
      </c>
      <c r="Q156" s="9">
        <v>0.64620218733559798</v>
      </c>
      <c r="R156" s="9">
        <v>128495666.666667</v>
      </c>
      <c r="S156" s="9">
        <v>1840.20224623591</v>
      </c>
      <c r="T156" s="2">
        <f t="shared" si="2"/>
        <v>0</v>
      </c>
      <c r="U156" s="25">
        <v>176.4</v>
      </c>
    </row>
    <row r="157" spans="1:21">
      <c r="A157" s="8" t="s">
        <v>182</v>
      </c>
      <c r="B157" s="7" t="s">
        <v>31</v>
      </c>
      <c r="C157" s="10">
        <v>1222200000000</v>
      </c>
      <c r="D157" s="10">
        <v>5495100000000</v>
      </c>
      <c r="E157" s="10">
        <v>8551900000000</v>
      </c>
      <c r="F157" s="10">
        <v>1831600000000</v>
      </c>
      <c r="G157" s="10">
        <v>1919800000000</v>
      </c>
      <c r="H157" s="10">
        <v>1039700000000</v>
      </c>
      <c r="I157" s="10">
        <v>954500000000</v>
      </c>
      <c r="J157" s="10">
        <v>0.74569593626785402</v>
      </c>
      <c r="K157" s="10">
        <v>0.866388308977035</v>
      </c>
      <c r="L157" s="10">
        <v>0.823931623931624</v>
      </c>
      <c r="M157" s="10">
        <v>0.82511711866592197</v>
      </c>
      <c r="N157" s="10">
        <v>0.84576588302285804</v>
      </c>
      <c r="O157" s="10">
        <v>0.77856375521203203</v>
      </c>
      <c r="P157" s="10">
        <v>0.79209790411393299</v>
      </c>
      <c r="Q157" s="10">
        <v>0.64981606667415004</v>
      </c>
      <c r="R157" s="10">
        <v>129339666.666667</v>
      </c>
      <c r="S157" s="10">
        <v>1844.6782137283999</v>
      </c>
      <c r="T157" s="2">
        <f t="shared" si="2"/>
        <v>0</v>
      </c>
      <c r="U157" s="26">
        <v>174.15</v>
      </c>
    </row>
    <row r="158" spans="1:21">
      <c r="A158" s="8" t="s">
        <v>183</v>
      </c>
      <c r="B158" s="7" t="s">
        <v>31</v>
      </c>
      <c r="C158" s="9">
        <v>1228500000000</v>
      </c>
      <c r="D158" s="9">
        <v>5603500000000</v>
      </c>
      <c r="E158" s="9">
        <v>8691800000000</v>
      </c>
      <c r="F158" s="9">
        <v>1888700000000</v>
      </c>
      <c r="G158" s="9">
        <v>1956600000000</v>
      </c>
      <c r="H158" s="9">
        <v>1070900000000</v>
      </c>
      <c r="I158" s="9">
        <v>974100000000</v>
      </c>
      <c r="J158" s="9">
        <v>0.74942441594919296</v>
      </c>
      <c r="K158" s="9">
        <v>0.86417672107877896</v>
      </c>
      <c r="L158" s="9">
        <v>0.82497597623831598</v>
      </c>
      <c r="M158" s="9">
        <v>0.82822553335590898</v>
      </c>
      <c r="N158" s="9">
        <v>0.84018515612741296</v>
      </c>
      <c r="O158" s="9">
        <v>0.78135562747213205</v>
      </c>
      <c r="P158" s="9">
        <v>0.79413557064100604</v>
      </c>
      <c r="Q158" s="9">
        <v>0.65243052864770601</v>
      </c>
      <c r="R158" s="9">
        <v>129950333.333333</v>
      </c>
      <c r="S158" s="9">
        <v>1848.57291435055</v>
      </c>
      <c r="T158" s="2">
        <f t="shared" si="2"/>
        <v>0</v>
      </c>
      <c r="U158" s="25">
        <v>180.7</v>
      </c>
    </row>
    <row r="159" spans="1:21">
      <c r="A159" s="8" t="s">
        <v>184</v>
      </c>
      <c r="B159" s="7" t="s">
        <v>31</v>
      </c>
      <c r="C159" s="10">
        <v>1246000000000</v>
      </c>
      <c r="D159" s="10">
        <v>5687600000000</v>
      </c>
      <c r="E159" s="10">
        <v>8788300000000</v>
      </c>
      <c r="F159" s="10">
        <v>1894200000000</v>
      </c>
      <c r="G159" s="10">
        <v>1971700000000</v>
      </c>
      <c r="H159" s="10">
        <v>1085300000000</v>
      </c>
      <c r="I159" s="10">
        <v>968300000000</v>
      </c>
      <c r="J159" s="10">
        <v>0.75346360227064402</v>
      </c>
      <c r="K159" s="10">
        <v>0.86017589055698696</v>
      </c>
      <c r="L159" s="10">
        <v>0.82467673821237297</v>
      </c>
      <c r="M159" s="10">
        <v>0.82733299765021795</v>
      </c>
      <c r="N159" s="10">
        <v>0.83349973120344101</v>
      </c>
      <c r="O159" s="10">
        <v>0.78394869004397705</v>
      </c>
      <c r="P159" s="10">
        <v>0.79659378982898899</v>
      </c>
      <c r="Q159" s="10">
        <v>0.65856204804644203</v>
      </c>
      <c r="R159" s="10">
        <v>130503666.666667</v>
      </c>
      <c r="S159" s="10">
        <v>1850.54662568515</v>
      </c>
      <c r="T159" s="2">
        <f t="shared" si="2"/>
        <v>0</v>
      </c>
      <c r="U159" s="26">
        <v>184.3</v>
      </c>
    </row>
    <row r="160" spans="1:21">
      <c r="A160" s="8" t="s">
        <v>185</v>
      </c>
      <c r="B160" s="7" t="s">
        <v>31</v>
      </c>
      <c r="C160" s="9">
        <v>1242000000000</v>
      </c>
      <c r="D160" s="9">
        <v>5745900000000</v>
      </c>
      <c r="E160" s="9">
        <v>8889700000000.0098</v>
      </c>
      <c r="F160" s="9">
        <v>1931800000000.01</v>
      </c>
      <c r="G160" s="9">
        <v>2037000000000</v>
      </c>
      <c r="H160" s="9">
        <v>1098200000000</v>
      </c>
      <c r="I160" s="9">
        <v>963000000000</v>
      </c>
      <c r="J160" s="9">
        <v>0.75501713547120197</v>
      </c>
      <c r="K160" s="9">
        <v>0.85153417631974504</v>
      </c>
      <c r="L160" s="9">
        <v>0.82207753521426497</v>
      </c>
      <c r="M160" s="9">
        <v>0.82479653399198305</v>
      </c>
      <c r="N160" s="9">
        <v>0.81287934863064404</v>
      </c>
      <c r="O160" s="9">
        <v>0.78522594777938803</v>
      </c>
      <c r="P160" s="9">
        <v>0.79653709659532002</v>
      </c>
      <c r="Q160" s="9">
        <v>0.65984763677712599</v>
      </c>
      <c r="R160" s="9">
        <v>130782333.333333</v>
      </c>
      <c r="S160" s="9">
        <v>1849.1016745591401</v>
      </c>
      <c r="T160" s="2">
        <f t="shared" si="2"/>
        <v>0</v>
      </c>
      <c r="U160" s="25">
        <v>184.42500000000001</v>
      </c>
    </row>
    <row r="161" spans="1:21">
      <c r="A161" s="8" t="s">
        <v>186</v>
      </c>
      <c r="B161" s="7" t="s">
        <v>31</v>
      </c>
      <c r="C161" s="10">
        <v>1267600000000</v>
      </c>
      <c r="D161" s="10">
        <v>5857800000000</v>
      </c>
      <c r="E161" s="10">
        <v>8994700000000</v>
      </c>
      <c r="F161" s="10">
        <v>1994300000000</v>
      </c>
      <c r="G161" s="10">
        <v>2031600000000</v>
      </c>
      <c r="H161" s="10">
        <v>1109600000000</v>
      </c>
      <c r="I161" s="10">
        <v>947300000000</v>
      </c>
      <c r="J161" s="10">
        <v>0.75750278859209497</v>
      </c>
      <c r="K161" s="10">
        <v>0.84693786320965603</v>
      </c>
      <c r="L161" s="10">
        <v>0.82090228039845203</v>
      </c>
      <c r="M161" s="10">
        <v>0.82261003360732099</v>
      </c>
      <c r="N161" s="10">
        <v>0.80295245676242899</v>
      </c>
      <c r="O161" s="10">
        <v>0.78686904032893001</v>
      </c>
      <c r="P161" s="10">
        <v>0.79795668165100098</v>
      </c>
      <c r="Q161" s="10">
        <v>0.66407760445429498</v>
      </c>
      <c r="R161" s="10">
        <v>131259333.333333</v>
      </c>
      <c r="S161" s="10">
        <v>1847.0037158088501</v>
      </c>
      <c r="T161" s="2">
        <f t="shared" si="2"/>
        <v>0</v>
      </c>
      <c r="U161" s="26">
        <v>192.3</v>
      </c>
    </row>
    <row r="162" spans="1:21">
      <c r="A162" s="8" t="s">
        <v>187</v>
      </c>
      <c r="B162" s="7" t="s">
        <v>31</v>
      </c>
      <c r="C162" s="9">
        <v>1276800000000</v>
      </c>
      <c r="D162" s="9">
        <v>5952800000000</v>
      </c>
      <c r="E162" s="9">
        <v>9146500000000</v>
      </c>
      <c r="F162" s="9">
        <v>2039200000000</v>
      </c>
      <c r="G162" s="9">
        <v>2091500000000</v>
      </c>
      <c r="H162" s="9">
        <v>1109900000000</v>
      </c>
      <c r="I162" s="9">
        <v>935300000000</v>
      </c>
      <c r="J162" s="9">
        <v>0.76138662159349002</v>
      </c>
      <c r="K162" s="9">
        <v>0.84011497350220099</v>
      </c>
      <c r="L162" s="9">
        <v>0.82116538477026502</v>
      </c>
      <c r="M162" s="9">
        <v>0.82306874975404398</v>
      </c>
      <c r="N162" s="9">
        <v>0.79250267761513704</v>
      </c>
      <c r="O162" s="9">
        <v>0.78981227224841599</v>
      </c>
      <c r="P162" s="9">
        <v>0.80037647058823502</v>
      </c>
      <c r="Q162" s="9">
        <v>0.66874886368887598</v>
      </c>
      <c r="R162" s="9">
        <v>131568333.333333</v>
      </c>
      <c r="S162" s="9">
        <v>1844.59573237017</v>
      </c>
      <c r="T162" s="2">
        <f t="shared" si="2"/>
        <v>0</v>
      </c>
      <c r="U162" s="25">
        <v>196.25</v>
      </c>
    </row>
    <row r="163" spans="1:21">
      <c r="A163" s="8" t="s">
        <v>188</v>
      </c>
      <c r="B163" s="7" t="s">
        <v>31</v>
      </c>
      <c r="C163" s="10">
        <v>1302000000000</v>
      </c>
      <c r="D163" s="10">
        <v>6055500000000</v>
      </c>
      <c r="E163" s="10">
        <v>9325700000000</v>
      </c>
      <c r="F163" s="10">
        <v>2086800000000</v>
      </c>
      <c r="G163" s="10">
        <v>2146900000000</v>
      </c>
      <c r="H163" s="10">
        <v>1145000000000</v>
      </c>
      <c r="I163" s="10">
        <v>966300000000</v>
      </c>
      <c r="J163" s="10">
        <v>0.76495974795477295</v>
      </c>
      <c r="K163" s="10">
        <v>0.83698570809874395</v>
      </c>
      <c r="L163" s="10">
        <v>0.82222222222222197</v>
      </c>
      <c r="M163" s="10">
        <v>0.82601669808779998</v>
      </c>
      <c r="N163" s="10">
        <v>0.79200387355606305</v>
      </c>
      <c r="O163" s="10">
        <v>0.79228083291563001</v>
      </c>
      <c r="P163" s="10">
        <v>0.80239306726029602</v>
      </c>
      <c r="Q163" s="10">
        <v>0.67273839730098295</v>
      </c>
      <c r="R163" s="10">
        <v>132293666.666667</v>
      </c>
      <c r="S163" s="10">
        <v>1843.2988772618401</v>
      </c>
      <c r="T163" s="2">
        <f t="shared" si="2"/>
        <v>0</v>
      </c>
      <c r="U163" s="26">
        <v>206.3</v>
      </c>
    </row>
    <row r="164" spans="1:21">
      <c r="A164" s="8" t="s">
        <v>189</v>
      </c>
      <c r="B164" s="7" t="s">
        <v>31</v>
      </c>
      <c r="C164" s="9">
        <v>1319700000000</v>
      </c>
      <c r="D164" s="9">
        <v>6129000000000</v>
      </c>
      <c r="E164" s="9">
        <v>9447100000000</v>
      </c>
      <c r="F164" s="9">
        <v>2123600000000</v>
      </c>
      <c r="G164" s="9">
        <v>2206900000000</v>
      </c>
      <c r="H164" s="9">
        <v>1170100000000</v>
      </c>
      <c r="I164" s="9">
        <v>961600000000</v>
      </c>
      <c r="J164" s="9">
        <v>0.76775610771577796</v>
      </c>
      <c r="K164" s="9">
        <v>0.85369318181818199</v>
      </c>
      <c r="L164" s="9">
        <v>0.82383520192419601</v>
      </c>
      <c r="M164" s="9">
        <v>0.82838482038962502</v>
      </c>
      <c r="N164" s="9">
        <v>0.79766855273024795</v>
      </c>
      <c r="O164" s="9">
        <v>0.79623589302721498</v>
      </c>
      <c r="P164" s="9">
        <v>0.80446795385039405</v>
      </c>
      <c r="Q164" s="9">
        <v>0.677637997432606</v>
      </c>
      <c r="R164" s="9">
        <v>132943333.333333</v>
      </c>
      <c r="S164" s="9">
        <v>1844.6033390370501</v>
      </c>
      <c r="T164" s="2">
        <f t="shared" si="2"/>
        <v>0</v>
      </c>
      <c r="U164" s="25">
        <v>204.97499999999999</v>
      </c>
    </row>
    <row r="165" spans="1:21">
      <c r="A165" s="8" t="s">
        <v>190</v>
      </c>
      <c r="B165" s="7" t="s">
        <v>31</v>
      </c>
      <c r="C165" s="10">
        <v>1339400000000</v>
      </c>
      <c r="D165" s="10">
        <v>6253000000000</v>
      </c>
      <c r="E165" s="10">
        <v>9556999999999.9902</v>
      </c>
      <c r="F165" s="10">
        <v>2174900000000</v>
      </c>
      <c r="G165" s="10">
        <v>2210000000000</v>
      </c>
      <c r="H165" s="10">
        <v>1218200000000</v>
      </c>
      <c r="I165" s="10">
        <v>972800000000</v>
      </c>
      <c r="J165" s="10">
        <v>0.77350418055784298</v>
      </c>
      <c r="K165" s="10">
        <v>0.85490816416205295</v>
      </c>
      <c r="L165" s="10">
        <v>0.825263717082796</v>
      </c>
      <c r="M165" s="10">
        <v>0.82672452491396098</v>
      </c>
      <c r="N165" s="10">
        <v>0.80728959575878101</v>
      </c>
      <c r="O165" s="10">
        <v>0.79891327063740802</v>
      </c>
      <c r="P165" s="10">
        <v>0.80876932031300497</v>
      </c>
      <c r="Q165" s="10">
        <v>0.68592205663952499</v>
      </c>
      <c r="R165" s="10">
        <v>133214666.666667</v>
      </c>
      <c r="S165" s="10">
        <v>1846.4887493644101</v>
      </c>
      <c r="T165" s="2">
        <f t="shared" si="2"/>
        <v>0</v>
      </c>
      <c r="U165" s="26">
        <v>213.7</v>
      </c>
    </row>
    <row r="166" spans="1:21">
      <c r="A166" s="8" t="s">
        <v>191</v>
      </c>
      <c r="B166" s="7" t="s">
        <v>31</v>
      </c>
      <c r="C166" s="9">
        <v>1369700000000</v>
      </c>
      <c r="D166" s="9">
        <v>6357200000000</v>
      </c>
      <c r="E166" s="9">
        <v>9712300000000</v>
      </c>
      <c r="F166" s="9">
        <v>2220900000000</v>
      </c>
      <c r="G166" s="9">
        <v>2261499999999.9902</v>
      </c>
      <c r="H166" s="9">
        <v>1278500000000</v>
      </c>
      <c r="I166" s="9">
        <v>1002400000000</v>
      </c>
      <c r="J166" s="9">
        <v>0.779252253399907</v>
      </c>
      <c r="K166" s="9">
        <v>0.85580124647827205</v>
      </c>
      <c r="L166" s="9">
        <v>0.82496935477879696</v>
      </c>
      <c r="M166" s="9">
        <v>0.82669249890334795</v>
      </c>
      <c r="N166" s="9">
        <v>0.81682852031689201</v>
      </c>
      <c r="O166" s="9">
        <v>0.801801355557207</v>
      </c>
      <c r="P166" s="9">
        <v>0.81301395265560905</v>
      </c>
      <c r="Q166" s="9">
        <v>0.69383516539182399</v>
      </c>
      <c r="R166" s="9">
        <v>133570666.666667</v>
      </c>
      <c r="S166" s="9">
        <v>1848.3658537960901</v>
      </c>
      <c r="T166" s="2">
        <f t="shared" si="2"/>
        <v>0</v>
      </c>
      <c r="U166" s="25">
        <v>217.8</v>
      </c>
    </row>
    <row r="167" spans="1:21">
      <c r="A167" s="8" t="s">
        <v>192</v>
      </c>
      <c r="B167" s="7" t="s">
        <v>31</v>
      </c>
      <c r="C167" s="10">
        <v>1401400000000</v>
      </c>
      <c r="D167" s="10">
        <v>6488900000000</v>
      </c>
      <c r="E167" s="10">
        <v>9926099999999.9902</v>
      </c>
      <c r="F167" s="10">
        <v>2248000000000</v>
      </c>
      <c r="G167" s="10">
        <v>2332299999999.9902</v>
      </c>
      <c r="H167" s="10">
        <v>1327700000000</v>
      </c>
      <c r="I167" s="10">
        <v>1031200000000</v>
      </c>
      <c r="J167" s="10">
        <v>0.78500032624197202</v>
      </c>
      <c r="K167" s="10">
        <v>0.85868931634607404</v>
      </c>
      <c r="L167" s="10">
        <v>0.82848087270583004</v>
      </c>
      <c r="M167" s="10">
        <v>0.82890855457227097</v>
      </c>
      <c r="N167" s="10">
        <v>0.82784636488340202</v>
      </c>
      <c r="O167" s="10">
        <v>0.805474183051618</v>
      </c>
      <c r="P167" s="10">
        <v>0.81784953554908602</v>
      </c>
      <c r="Q167" s="10">
        <v>0.70129610168643297</v>
      </c>
      <c r="R167" s="10">
        <v>134275000</v>
      </c>
      <c r="S167" s="10">
        <v>1848.54205780245</v>
      </c>
      <c r="T167" s="2">
        <f t="shared" si="2"/>
        <v>0</v>
      </c>
      <c r="U167" s="26">
        <v>219.07499999999999</v>
      </c>
    </row>
    <row r="168" spans="1:21">
      <c r="A168" s="8" t="s">
        <v>193</v>
      </c>
      <c r="B168" s="7" t="s">
        <v>31</v>
      </c>
      <c r="C168" s="9">
        <v>1407400000000</v>
      </c>
      <c r="D168" s="9">
        <v>6642700000000</v>
      </c>
      <c r="E168" s="9">
        <v>10031000000000</v>
      </c>
      <c r="F168" s="9">
        <v>2317400000000</v>
      </c>
      <c r="G168" s="9">
        <v>2333699999999.9902</v>
      </c>
      <c r="H168" s="9">
        <v>1406800000000</v>
      </c>
      <c r="I168" s="9">
        <v>1054000000000</v>
      </c>
      <c r="J168" s="9">
        <v>0.79276799224476202</v>
      </c>
      <c r="K168" s="9">
        <v>0.86450131233595795</v>
      </c>
      <c r="L168" s="9">
        <v>0.83392709345424398</v>
      </c>
      <c r="M168" s="9">
        <v>0.83486566737022905</v>
      </c>
      <c r="N168" s="9">
        <v>0.84335471494514702</v>
      </c>
      <c r="O168" s="9">
        <v>0.81162867846364195</v>
      </c>
      <c r="P168" s="9">
        <v>0.824678146221555</v>
      </c>
      <c r="Q168" s="9">
        <v>0.71289636308378102</v>
      </c>
      <c r="R168" s="9">
        <v>136619333.33333299</v>
      </c>
      <c r="S168" s="9">
        <v>1845.920916243</v>
      </c>
      <c r="T168" s="2">
        <f t="shared" si="2"/>
        <v>0</v>
      </c>
      <c r="U168" s="25">
        <v>230.22499999999999</v>
      </c>
    </row>
    <row r="169" spans="1:21">
      <c r="A169" s="8" t="s">
        <v>194</v>
      </c>
      <c r="B169" s="7" t="s">
        <v>31</v>
      </c>
      <c r="C169" s="10">
        <v>1442900000000</v>
      </c>
      <c r="D169" s="10">
        <v>6737300000000</v>
      </c>
      <c r="E169" s="10">
        <v>10278300000000</v>
      </c>
      <c r="F169" s="10">
        <v>2367200000000</v>
      </c>
      <c r="G169" s="10">
        <v>2457699999999.98</v>
      </c>
      <c r="H169" s="10">
        <v>1452300000000</v>
      </c>
      <c r="I169" s="10">
        <v>1092700000000</v>
      </c>
      <c r="J169" s="10">
        <v>0.79898212504699395</v>
      </c>
      <c r="K169" s="10">
        <v>0.87088547063042998</v>
      </c>
      <c r="L169" s="10">
        <v>0.83794690265486704</v>
      </c>
      <c r="M169" s="10">
        <v>0.83914913957935</v>
      </c>
      <c r="N169" s="10">
        <v>0.84455687369155596</v>
      </c>
      <c r="O169" s="10">
        <v>0.81622394282310895</v>
      </c>
      <c r="P169" s="10">
        <v>0.82847200019674905</v>
      </c>
      <c r="Q169" s="10">
        <v>0.71728971962616805</v>
      </c>
      <c r="R169" s="10">
        <v>136946666.66666701</v>
      </c>
      <c r="S169" s="10">
        <v>1840.2568222770401</v>
      </c>
      <c r="T169" s="2">
        <f t="shared" si="2"/>
        <v>1.953125E-2</v>
      </c>
      <c r="U169" s="26">
        <v>225.47499999999999</v>
      </c>
    </row>
    <row r="170" spans="1:21">
      <c r="A170" s="8" t="s">
        <v>195</v>
      </c>
      <c r="B170" s="7" t="s">
        <v>31</v>
      </c>
      <c r="C170" s="9">
        <v>1453400000000</v>
      </c>
      <c r="D170" s="9">
        <v>6845100000000</v>
      </c>
      <c r="E170" s="9">
        <v>10357400000000</v>
      </c>
      <c r="F170" s="9">
        <v>2390200000000</v>
      </c>
      <c r="G170" s="9">
        <v>2447399999999.98</v>
      </c>
      <c r="H170" s="9">
        <v>1513700000000</v>
      </c>
      <c r="I170" s="9">
        <v>1125200000000</v>
      </c>
      <c r="J170" s="9">
        <v>0.80628373108961704</v>
      </c>
      <c r="K170" s="9">
        <v>0.87530143912874403</v>
      </c>
      <c r="L170" s="9">
        <v>0.84200514319935205</v>
      </c>
      <c r="M170" s="9">
        <v>0.84337847617078499</v>
      </c>
      <c r="N170" s="9">
        <v>0.85087127599775203</v>
      </c>
      <c r="O170" s="9">
        <v>0.82151383678228296</v>
      </c>
      <c r="P170" s="9">
        <v>0.83361952431405495</v>
      </c>
      <c r="Q170" s="9">
        <v>0.72611910471622698</v>
      </c>
      <c r="R170" s="9">
        <v>136695333.33333299</v>
      </c>
      <c r="S170" s="9">
        <v>1832.7229385972</v>
      </c>
      <c r="T170" s="2">
        <f t="shared" si="2"/>
        <v>1.953125E-2</v>
      </c>
      <c r="U170" s="25">
        <v>227.92500000000001</v>
      </c>
    </row>
    <row r="171" spans="1:21">
      <c r="A171" s="8" t="s">
        <v>196</v>
      </c>
      <c r="B171" s="7" t="s">
        <v>31</v>
      </c>
      <c r="C171" s="10">
        <v>1473000000000</v>
      </c>
      <c r="D171" s="10">
        <v>6944400000000</v>
      </c>
      <c r="E171" s="10">
        <v>10472300000000</v>
      </c>
      <c r="F171" s="10">
        <v>2402900000000</v>
      </c>
      <c r="G171" s="10">
        <v>2457299999999.98</v>
      </c>
      <c r="H171" s="10">
        <v>1517800000000</v>
      </c>
      <c r="I171" s="10">
        <v>1115400000000</v>
      </c>
      <c r="J171" s="10">
        <v>0.81203180393168195</v>
      </c>
      <c r="K171" s="10">
        <v>0.87530408851918695</v>
      </c>
      <c r="L171" s="10">
        <v>0.84412983910630202</v>
      </c>
      <c r="M171" s="10">
        <v>0.84559532002752902</v>
      </c>
      <c r="N171" s="10">
        <v>0.85360778358922396</v>
      </c>
      <c r="O171" s="10">
        <v>0.825936763070516</v>
      </c>
      <c r="P171" s="10">
        <v>0.83825020520496396</v>
      </c>
      <c r="Q171" s="10">
        <v>0.73418730997358295</v>
      </c>
      <c r="R171" s="10">
        <v>137341333.33333299</v>
      </c>
      <c r="S171" s="10">
        <v>1825.0993228827599</v>
      </c>
      <c r="T171" s="2">
        <f t="shared" si="2"/>
        <v>1.953125E-2</v>
      </c>
      <c r="U171" s="26">
        <v>228.95</v>
      </c>
    </row>
    <row r="172" spans="1:21">
      <c r="A172" s="8" t="s">
        <v>197</v>
      </c>
      <c r="B172" s="7" t="s">
        <v>31</v>
      </c>
      <c r="C172" s="9">
        <v>1510200000000</v>
      </c>
      <c r="D172" s="9">
        <v>7020400000000</v>
      </c>
      <c r="E172" s="9">
        <v>10508100000000</v>
      </c>
      <c r="F172" s="9">
        <v>2399800000000</v>
      </c>
      <c r="G172" s="9">
        <v>2369199999999.98</v>
      </c>
      <c r="H172" s="9">
        <v>1488400000000</v>
      </c>
      <c r="I172" s="9">
        <v>1096700000000</v>
      </c>
      <c r="J172" s="9">
        <v>0.81979946993447195</v>
      </c>
      <c r="K172" s="9">
        <v>0.87421283379832604</v>
      </c>
      <c r="L172" s="9">
        <v>0.84494049714808805</v>
      </c>
      <c r="M172" s="9">
        <v>0.84626375196456605</v>
      </c>
      <c r="N172" s="9">
        <v>0.85124392336288202</v>
      </c>
      <c r="O172" s="9">
        <v>0.83112003986300997</v>
      </c>
      <c r="P172" s="9">
        <v>0.84385893213452901</v>
      </c>
      <c r="Q172" s="9">
        <v>0.74127521719923395</v>
      </c>
      <c r="R172" s="9">
        <v>137724333.33333299</v>
      </c>
      <c r="S172" s="9">
        <v>1817.3840135713499</v>
      </c>
      <c r="T172" s="2">
        <f t="shared" si="2"/>
        <v>1.953125E-2</v>
      </c>
      <c r="U172" s="25">
        <v>231.7</v>
      </c>
    </row>
    <row r="173" spans="1:21">
      <c r="A173" s="8" t="s">
        <v>198</v>
      </c>
      <c r="B173" s="7" t="s">
        <v>31</v>
      </c>
      <c r="C173" s="10">
        <v>1536900000000</v>
      </c>
      <c r="D173" s="10">
        <v>7072100000000</v>
      </c>
      <c r="E173" s="10">
        <v>10638400000000</v>
      </c>
      <c r="F173" s="10">
        <v>2400300000000</v>
      </c>
      <c r="G173" s="10">
        <v>2388699999999.98</v>
      </c>
      <c r="H173" s="10">
        <v>1413900000000</v>
      </c>
      <c r="I173" s="10">
        <v>1054600000000</v>
      </c>
      <c r="J173" s="10">
        <v>0.82554754277653697</v>
      </c>
      <c r="K173" s="10">
        <v>0.86941467436108799</v>
      </c>
      <c r="L173" s="10">
        <v>0.84765335310944001</v>
      </c>
      <c r="M173" s="10">
        <v>0.84883266408443203</v>
      </c>
      <c r="N173" s="10">
        <v>0.833274398868458</v>
      </c>
      <c r="O173" s="10">
        <v>0.83699047229412404</v>
      </c>
      <c r="P173" s="10">
        <v>0.84789228850949605</v>
      </c>
      <c r="Q173" s="10">
        <v>0.74530818098055396</v>
      </c>
      <c r="R173" s="10">
        <v>137088000</v>
      </c>
      <c r="S173" s="10">
        <v>1813.82241414953</v>
      </c>
      <c r="T173" s="2">
        <f t="shared" si="2"/>
        <v>1.953125E-2</v>
      </c>
      <c r="U173" s="26">
        <v>229.875</v>
      </c>
    </row>
    <row r="174" spans="1:21">
      <c r="A174" s="8" t="s">
        <v>199</v>
      </c>
      <c r="B174" s="7" t="s">
        <v>31</v>
      </c>
      <c r="C174" s="9">
        <v>1558700000000</v>
      </c>
      <c r="D174" s="9">
        <v>7103400000000</v>
      </c>
      <c r="E174" s="9">
        <v>10639500000000</v>
      </c>
      <c r="F174" s="9">
        <v>2374100000000</v>
      </c>
      <c r="G174" s="9">
        <v>2344099999999.98</v>
      </c>
      <c r="H174" s="9">
        <v>1365200000000</v>
      </c>
      <c r="I174" s="9">
        <v>998500000000</v>
      </c>
      <c r="J174" s="9">
        <v>0.82787784257737396</v>
      </c>
      <c r="K174" s="9">
        <v>0.86517632787453402</v>
      </c>
      <c r="L174" s="9">
        <v>0.84950084087737499</v>
      </c>
      <c r="M174" s="9">
        <v>0.85091476695222901</v>
      </c>
      <c r="N174" s="9">
        <v>0.82102477748376201</v>
      </c>
      <c r="O174" s="9">
        <v>0.83973291449949194</v>
      </c>
      <c r="P174" s="9">
        <v>0.84855217889908297</v>
      </c>
      <c r="Q174" s="9">
        <v>0.749086889657824</v>
      </c>
      <c r="R174" s="9">
        <v>136719333.33333299</v>
      </c>
      <c r="S174" s="9">
        <v>1812.4964810112799</v>
      </c>
      <c r="T174" s="2">
        <f t="shared" si="2"/>
        <v>1.953125E-2</v>
      </c>
      <c r="U174" s="25">
        <v>230.97499999999999</v>
      </c>
    </row>
    <row r="175" spans="1:21">
      <c r="A175" s="8" t="s">
        <v>200</v>
      </c>
      <c r="B175" s="7" t="s">
        <v>31</v>
      </c>
      <c r="C175" s="10">
        <v>1574600000000</v>
      </c>
      <c r="D175" s="10">
        <v>7216600000000</v>
      </c>
      <c r="E175" s="10">
        <v>10701300000000</v>
      </c>
      <c r="F175" s="10">
        <v>2348000000000</v>
      </c>
      <c r="G175" s="10">
        <v>2267099999999.98</v>
      </c>
      <c r="H175" s="10">
        <v>1314100000000</v>
      </c>
      <c r="I175" s="10">
        <v>957100000000</v>
      </c>
      <c r="J175" s="10">
        <v>0.82725642929715104</v>
      </c>
      <c r="K175" s="10">
        <v>0.85608228980321999</v>
      </c>
      <c r="L175" s="10">
        <v>0.85023174971031301</v>
      </c>
      <c r="M175" s="10">
        <v>0.85126914989486302</v>
      </c>
      <c r="N175" s="10">
        <v>0.80137821685571398</v>
      </c>
      <c r="O175" s="10">
        <v>0.84227054851125205</v>
      </c>
      <c r="P175" s="10">
        <v>0.84910166958854505</v>
      </c>
      <c r="Q175" s="10">
        <v>0.75113294852835999</v>
      </c>
      <c r="R175" s="10">
        <v>136225666.66666701</v>
      </c>
      <c r="S175" s="10">
        <v>1812.29709126784</v>
      </c>
      <c r="T175" s="2">
        <f t="shared" si="2"/>
        <v>1.953125E-2</v>
      </c>
      <c r="U175" s="26">
        <v>248.97499999999999</v>
      </c>
    </row>
    <row r="176" spans="1:21">
      <c r="A176" s="8" t="s">
        <v>201</v>
      </c>
      <c r="B176" s="7" t="s">
        <v>31</v>
      </c>
      <c r="C176" s="9">
        <v>1614000000000</v>
      </c>
      <c r="D176" s="9">
        <v>7251400000000</v>
      </c>
      <c r="E176" s="9">
        <v>10834400000000</v>
      </c>
      <c r="F176" s="9">
        <v>2344500000000</v>
      </c>
      <c r="G176" s="9">
        <v>2344299999999.98</v>
      </c>
      <c r="H176" s="9">
        <v>1348600000000</v>
      </c>
      <c r="I176" s="9">
        <v>973300000000</v>
      </c>
      <c r="J176" s="9">
        <v>0.82989743573809904</v>
      </c>
      <c r="K176" s="9">
        <v>0.85309843106319605</v>
      </c>
      <c r="L176" s="9">
        <v>0.849887624157181</v>
      </c>
      <c r="M176" s="9">
        <v>0.85225578943541602</v>
      </c>
      <c r="N176" s="9">
        <v>0.79945462090224695</v>
      </c>
      <c r="O176" s="9">
        <v>0.84496541182159202</v>
      </c>
      <c r="P176" s="9">
        <v>0.85064401848767102</v>
      </c>
      <c r="Q176" s="9">
        <v>0.75985123110964603</v>
      </c>
      <c r="R176" s="9">
        <v>136105333.33333299</v>
      </c>
      <c r="S176" s="9">
        <v>1813.5189266718701</v>
      </c>
      <c r="T176" s="2">
        <f t="shared" si="2"/>
        <v>1.953125E-2</v>
      </c>
      <c r="U176" s="25">
        <v>243.72499999999999</v>
      </c>
    </row>
    <row r="177" spans="1:21">
      <c r="A177" s="8" t="s">
        <v>202</v>
      </c>
      <c r="B177" s="7" t="s">
        <v>31</v>
      </c>
      <c r="C177" s="10">
        <v>1641100000000</v>
      </c>
      <c r="D177" s="10">
        <v>7344500000000</v>
      </c>
      <c r="E177" s="10">
        <v>10934800000000</v>
      </c>
      <c r="F177" s="10">
        <v>2345900000000</v>
      </c>
      <c r="G177" s="10">
        <v>2365199999999.9902</v>
      </c>
      <c r="H177" s="10">
        <v>1423500000000</v>
      </c>
      <c r="I177" s="10">
        <v>1007500000000</v>
      </c>
      <c r="J177" s="10">
        <v>0.83642227518044299</v>
      </c>
      <c r="K177" s="10">
        <v>0.85956829622045905</v>
      </c>
      <c r="L177" s="10">
        <v>0.85082692586682096</v>
      </c>
      <c r="M177" s="10">
        <v>0.851557155715572</v>
      </c>
      <c r="N177" s="10">
        <v>0.818197493964824</v>
      </c>
      <c r="O177" s="10">
        <v>0.84811913441402398</v>
      </c>
      <c r="P177" s="10">
        <v>0.85719120925292702</v>
      </c>
      <c r="Q177" s="10">
        <v>0.765045918605193</v>
      </c>
      <c r="R177" s="10">
        <v>136360000</v>
      </c>
      <c r="S177" s="10">
        <v>1811.90659420669</v>
      </c>
      <c r="T177" s="2">
        <f t="shared" si="2"/>
        <v>0</v>
      </c>
      <c r="U177" s="26">
        <v>244.92500000000001</v>
      </c>
    </row>
    <row r="178" spans="1:21">
      <c r="A178" s="8" t="s">
        <v>203</v>
      </c>
      <c r="B178" s="7" t="s">
        <v>31</v>
      </c>
      <c r="C178" s="9">
        <v>1659800000000</v>
      </c>
      <c r="D178" s="9">
        <v>7433100000000</v>
      </c>
      <c r="E178" s="9">
        <v>11037100000000</v>
      </c>
      <c r="F178" s="9">
        <v>2350600000000</v>
      </c>
      <c r="G178" s="9">
        <v>2375799999999.98</v>
      </c>
      <c r="H178" s="9">
        <v>1453200000000</v>
      </c>
      <c r="I178" s="9">
        <v>1021600000000</v>
      </c>
      <c r="J178" s="9">
        <v>0.84092752146206096</v>
      </c>
      <c r="K178" s="9">
        <v>0.86539601863617099</v>
      </c>
      <c r="L178" s="9">
        <v>0.85216067285382802</v>
      </c>
      <c r="M178" s="9">
        <v>0.852794429089343</v>
      </c>
      <c r="N178" s="9">
        <v>0.82306298142274603</v>
      </c>
      <c r="O178" s="9">
        <v>0.85190416647370304</v>
      </c>
      <c r="P178" s="9">
        <v>0.86150904033379705</v>
      </c>
      <c r="Q178" s="9">
        <v>0.76967308138186896</v>
      </c>
      <c r="R178" s="9">
        <v>136806666.66666701</v>
      </c>
      <c r="S178" s="9">
        <v>1809.02020663855</v>
      </c>
      <c r="T178" s="2">
        <f t="shared" si="2"/>
        <v>1.953125E-2</v>
      </c>
      <c r="U178" s="25">
        <v>250.875</v>
      </c>
    </row>
    <row r="179" spans="1:21">
      <c r="A179" s="8" t="s">
        <v>204</v>
      </c>
      <c r="B179" s="7" t="s">
        <v>31</v>
      </c>
      <c r="C179" s="10">
        <v>1690600000000</v>
      </c>
      <c r="D179" s="10">
        <v>7507200000000</v>
      </c>
      <c r="E179" s="10">
        <v>11103800000000</v>
      </c>
      <c r="F179" s="10">
        <v>2359200000000</v>
      </c>
      <c r="G179" s="10">
        <v>2388999999999.98</v>
      </c>
      <c r="H179" s="10">
        <v>1490600000000</v>
      </c>
      <c r="I179" s="10">
        <v>1007600000000</v>
      </c>
      <c r="J179" s="10">
        <v>0.84589882770384694</v>
      </c>
      <c r="K179" s="10">
        <v>0.86526406182911098</v>
      </c>
      <c r="L179" s="10">
        <v>0.85605428353713897</v>
      </c>
      <c r="M179" s="10">
        <v>0.85737869652598298</v>
      </c>
      <c r="N179" s="10">
        <v>0.82677907815186602</v>
      </c>
      <c r="O179" s="10">
        <v>0.85651033631595297</v>
      </c>
      <c r="P179" s="10">
        <v>0.86544314304159398</v>
      </c>
      <c r="Q179" s="10">
        <v>0.77871948410870595</v>
      </c>
      <c r="R179" s="10">
        <v>136651666.66666701</v>
      </c>
      <c r="S179" s="10">
        <v>1805.5542724828999</v>
      </c>
      <c r="T179" s="2">
        <f t="shared" si="2"/>
        <v>1.953125E-2</v>
      </c>
      <c r="U179" s="26">
        <v>245.82499999999999</v>
      </c>
    </row>
    <row r="180" spans="1:21">
      <c r="A180" s="8" t="s">
        <v>205</v>
      </c>
      <c r="B180" s="7" t="s">
        <v>31</v>
      </c>
      <c r="C180" s="9">
        <v>1722600000000</v>
      </c>
      <c r="D180" s="9">
        <v>7593500000000</v>
      </c>
      <c r="E180" s="9">
        <v>11230100000000</v>
      </c>
      <c r="F180" s="9">
        <v>2384600000000</v>
      </c>
      <c r="G180" s="9">
        <v>2415599999999.98</v>
      </c>
      <c r="H180" s="9">
        <v>1513100000000</v>
      </c>
      <c r="I180" s="9">
        <v>1011500000000</v>
      </c>
      <c r="J180" s="9">
        <v>0.85459861362697198</v>
      </c>
      <c r="K180" s="9">
        <v>0.87379060124395302</v>
      </c>
      <c r="L180" s="9">
        <v>0.86015222017819104</v>
      </c>
      <c r="M180" s="9">
        <v>0.86093092879036304</v>
      </c>
      <c r="N180" s="9">
        <v>0.85106023960852695</v>
      </c>
      <c r="O180" s="9">
        <v>0.86178556080790802</v>
      </c>
      <c r="P180" s="9">
        <v>0.871563845050215</v>
      </c>
      <c r="Q180" s="9">
        <v>0.79683597002497897</v>
      </c>
      <c r="R180" s="9">
        <v>137444333.33333299</v>
      </c>
      <c r="S180" s="9">
        <v>1801.1702479517</v>
      </c>
      <c r="T180" s="2">
        <f t="shared" si="2"/>
        <v>1.953125E-2</v>
      </c>
      <c r="U180" s="25">
        <v>243.5</v>
      </c>
    </row>
    <row r="181" spans="1:21">
      <c r="A181" s="8" t="s">
        <v>206</v>
      </c>
      <c r="B181" s="7" t="s">
        <v>31</v>
      </c>
      <c r="C181" s="10">
        <v>1755900000000</v>
      </c>
      <c r="D181" s="10">
        <v>7684600000000</v>
      </c>
      <c r="E181" s="10">
        <v>11370700000000</v>
      </c>
      <c r="F181" s="10">
        <v>2432100000000</v>
      </c>
      <c r="G181" s="10">
        <v>2431599999999.9902</v>
      </c>
      <c r="H181" s="10">
        <v>1513700000000</v>
      </c>
      <c r="I181" s="10">
        <v>1012300000000</v>
      </c>
      <c r="J181" s="10">
        <v>0.85320043374646903</v>
      </c>
      <c r="K181" s="10">
        <v>0.87554056391627699</v>
      </c>
      <c r="L181" s="10">
        <v>0.860585258837267</v>
      </c>
      <c r="M181" s="10">
        <v>0.86132265948779696</v>
      </c>
      <c r="N181" s="10">
        <v>0.838197020876018</v>
      </c>
      <c r="O181" s="10">
        <v>0.86455394955938702</v>
      </c>
      <c r="P181" s="10">
        <v>0.87230830353595601</v>
      </c>
      <c r="Q181" s="10">
        <v>0.79846300759401601</v>
      </c>
      <c r="R181" s="10">
        <v>137655666.66666701</v>
      </c>
      <c r="S181" s="10">
        <v>1799.4753410995099</v>
      </c>
      <c r="T181" s="2">
        <f t="shared" si="2"/>
        <v>0</v>
      </c>
      <c r="U181" s="26">
        <v>251.95</v>
      </c>
    </row>
    <row r="182" spans="1:21">
      <c r="A182" s="8" t="s">
        <v>207</v>
      </c>
      <c r="B182" s="7" t="s">
        <v>31</v>
      </c>
      <c r="C182" s="9">
        <v>1759000000000</v>
      </c>
      <c r="D182" s="9">
        <v>7845500000000</v>
      </c>
      <c r="E182" s="9">
        <v>11625100000000</v>
      </c>
      <c r="F182" s="9">
        <v>2512300000000</v>
      </c>
      <c r="G182" s="9">
        <v>2520499999999.98</v>
      </c>
      <c r="H182" s="9">
        <v>1542400000000</v>
      </c>
      <c r="I182" s="9">
        <v>1042500000000</v>
      </c>
      <c r="J182" s="9">
        <v>0.85956991986875697</v>
      </c>
      <c r="K182" s="9">
        <v>0.87826453243470903</v>
      </c>
      <c r="L182" s="9">
        <v>0.86330366654066903</v>
      </c>
      <c r="M182" s="9">
        <v>0.86454688893462295</v>
      </c>
      <c r="N182" s="9">
        <v>0.84325624624132101</v>
      </c>
      <c r="O182" s="9">
        <v>0.86933534743202501</v>
      </c>
      <c r="P182" s="9">
        <v>0.87763160838535004</v>
      </c>
      <c r="Q182" s="9">
        <v>0.80437168465337505</v>
      </c>
      <c r="R182" s="9">
        <v>137544000</v>
      </c>
      <c r="S182" s="9">
        <v>1799.27467166324</v>
      </c>
      <c r="T182" s="2">
        <f t="shared" si="2"/>
        <v>1.953125E-2</v>
      </c>
      <c r="U182" s="25">
        <v>260.57499999999999</v>
      </c>
    </row>
    <row r="183" spans="1:21">
      <c r="A183" s="8" t="s">
        <v>208</v>
      </c>
      <c r="B183" s="7" t="s">
        <v>31</v>
      </c>
      <c r="C183" s="10">
        <v>1784900000000</v>
      </c>
      <c r="D183" s="10">
        <v>7938500000000</v>
      </c>
      <c r="E183" s="10">
        <v>11816800000000</v>
      </c>
      <c r="F183" s="10">
        <v>2566800000000</v>
      </c>
      <c r="G183" s="10">
        <v>2605099999999.9902</v>
      </c>
      <c r="H183" s="10">
        <v>1606500000000</v>
      </c>
      <c r="I183" s="10">
        <v>1094800000000</v>
      </c>
      <c r="J183" s="10">
        <v>0.862832339589929</v>
      </c>
      <c r="K183" s="10">
        <v>0.88347320852162703</v>
      </c>
      <c r="L183" s="10">
        <v>0.868835257082896</v>
      </c>
      <c r="M183" s="10">
        <v>0.86909090909090903</v>
      </c>
      <c r="N183" s="10">
        <v>0.84793623983954403</v>
      </c>
      <c r="O183" s="10">
        <v>0.87346160384959504</v>
      </c>
      <c r="P183" s="10">
        <v>0.881193943699494</v>
      </c>
      <c r="Q183" s="10">
        <v>0.810029498525074</v>
      </c>
      <c r="R183" s="10">
        <v>138273000</v>
      </c>
      <c r="S183" s="10">
        <v>1800.07973928555</v>
      </c>
      <c r="T183" s="2">
        <f t="shared" si="2"/>
        <v>0</v>
      </c>
      <c r="U183" s="26">
        <v>261.5</v>
      </c>
    </row>
    <row r="184" spans="1:21">
      <c r="A184" s="8" t="s">
        <v>209</v>
      </c>
      <c r="B184" s="7" t="s">
        <v>31</v>
      </c>
      <c r="C184" s="9">
        <v>1827800000000</v>
      </c>
      <c r="D184" s="9">
        <v>8076800000000</v>
      </c>
      <c r="E184" s="9">
        <v>11988400000000</v>
      </c>
      <c r="F184" s="9">
        <v>2581500000000</v>
      </c>
      <c r="G184" s="9">
        <v>2630399999999.9902</v>
      </c>
      <c r="H184" s="9">
        <v>1687900000000</v>
      </c>
      <c r="I184" s="9">
        <v>1141300000000</v>
      </c>
      <c r="J184" s="9">
        <v>0.87013394563255198</v>
      </c>
      <c r="K184" s="9">
        <v>0.89401535328215598</v>
      </c>
      <c r="L184" s="9">
        <v>0.87621342746588804</v>
      </c>
      <c r="M184" s="9">
        <v>0.877004634414697</v>
      </c>
      <c r="N184" s="9">
        <v>0.86439289189327595</v>
      </c>
      <c r="O184" s="9">
        <v>0.88107889611582801</v>
      </c>
      <c r="P184" s="9">
        <v>0.88791170133239505</v>
      </c>
      <c r="Q184" s="9">
        <v>0.82679694214502197</v>
      </c>
      <c r="R184" s="9">
        <v>138489000</v>
      </c>
      <c r="S184" s="9">
        <v>1802.2945388870501</v>
      </c>
      <c r="T184" s="2">
        <f t="shared" si="2"/>
        <v>0</v>
      </c>
      <c r="U184" s="25">
        <v>265.57499999999999</v>
      </c>
    </row>
    <row r="185" spans="1:21">
      <c r="A185" s="8" t="s">
        <v>210</v>
      </c>
      <c r="B185" s="7" t="s">
        <v>31</v>
      </c>
      <c r="C185" s="10">
        <v>1856000000000</v>
      </c>
      <c r="D185" s="10">
        <v>8186300000000</v>
      </c>
      <c r="E185" s="10">
        <v>12181400000000</v>
      </c>
      <c r="F185" s="10">
        <v>2670900000000</v>
      </c>
      <c r="G185" s="10">
        <v>2747099999999.9902</v>
      </c>
      <c r="H185" s="10">
        <v>1780300000000</v>
      </c>
      <c r="I185" s="10">
        <v>1172300000000</v>
      </c>
      <c r="J185" s="10">
        <v>0.87696949171500704</v>
      </c>
      <c r="K185" s="10">
        <v>0.90658108421622496</v>
      </c>
      <c r="L185" s="10">
        <v>0.88595880187083298</v>
      </c>
      <c r="M185" s="10">
        <v>0.88776499482936899</v>
      </c>
      <c r="N185" s="10">
        <v>0.87570093457943898</v>
      </c>
      <c r="O185" s="10">
        <v>0.88875107615531701</v>
      </c>
      <c r="P185" s="10">
        <v>0.89414013434547501</v>
      </c>
      <c r="Q185" s="10">
        <v>0.83637510702537099</v>
      </c>
      <c r="R185" s="10">
        <v>138902000</v>
      </c>
      <c r="S185" s="10">
        <v>1802.6355637178599</v>
      </c>
      <c r="T185" s="2">
        <f t="shared" si="2"/>
        <v>0</v>
      </c>
      <c r="U185" s="26">
        <v>267.92500000000001</v>
      </c>
    </row>
    <row r="186" spans="1:21">
      <c r="A186" s="8" t="s">
        <v>211</v>
      </c>
      <c r="B186" s="7" t="s">
        <v>31</v>
      </c>
      <c r="C186" s="9">
        <v>1887300000000</v>
      </c>
      <c r="D186" s="9">
        <v>8312700000000</v>
      </c>
      <c r="E186" s="9">
        <v>12367700000000</v>
      </c>
      <c r="F186" s="9">
        <v>2743400000000</v>
      </c>
      <c r="G186" s="9">
        <v>2805700000000</v>
      </c>
      <c r="H186" s="9">
        <v>1824000000000</v>
      </c>
      <c r="I186" s="9">
        <v>1186000000000</v>
      </c>
      <c r="J186" s="9">
        <v>0.88256221123701595</v>
      </c>
      <c r="K186" s="9">
        <v>0.91188682146701505</v>
      </c>
      <c r="L186" s="9">
        <v>0.89554090226545702</v>
      </c>
      <c r="M186" s="9">
        <v>0.895760168571611</v>
      </c>
      <c r="N186" s="9">
        <v>0.888196338137904</v>
      </c>
      <c r="O186" s="9">
        <v>0.89421436214824901</v>
      </c>
      <c r="P186" s="9">
        <v>0.89935086011035403</v>
      </c>
      <c r="Q186" s="9">
        <v>0.84586769451416299</v>
      </c>
      <c r="R186" s="9">
        <v>139538666.66666701</v>
      </c>
      <c r="S186" s="9">
        <v>1802.0965099238299</v>
      </c>
      <c r="T186" s="2">
        <f t="shared" si="2"/>
        <v>0</v>
      </c>
      <c r="U186" s="25">
        <v>271.05</v>
      </c>
    </row>
    <row r="187" spans="1:21">
      <c r="A187" s="8" t="s">
        <v>212</v>
      </c>
      <c r="B187" s="7" t="s">
        <v>31</v>
      </c>
      <c r="C187" s="10">
        <v>1904600000000</v>
      </c>
      <c r="D187" s="10">
        <v>8464300000000</v>
      </c>
      <c r="E187" s="10">
        <v>12562200000000</v>
      </c>
      <c r="F187" s="10">
        <v>2809300000000</v>
      </c>
      <c r="G187" s="10">
        <v>2877400000000</v>
      </c>
      <c r="H187" s="10">
        <v>1910500000000</v>
      </c>
      <c r="I187" s="10">
        <v>1226400000000</v>
      </c>
      <c r="J187" s="10">
        <v>0.89203876376042002</v>
      </c>
      <c r="K187" s="10">
        <v>0.920651602732528</v>
      </c>
      <c r="L187" s="10">
        <v>0.90517463590668901</v>
      </c>
      <c r="M187" s="10">
        <v>0.90552618328298096</v>
      </c>
      <c r="N187" s="10">
        <v>0.90889628924833499</v>
      </c>
      <c r="O187" s="10">
        <v>0.90049030852161904</v>
      </c>
      <c r="P187" s="10">
        <v>0.90645548201931903</v>
      </c>
      <c r="Q187" s="10">
        <v>0.85569233534010203</v>
      </c>
      <c r="R187" s="10">
        <v>140029333.33333299</v>
      </c>
      <c r="S187" s="10">
        <v>1800.9733874712499</v>
      </c>
      <c r="T187" s="2">
        <f t="shared" si="2"/>
        <v>0</v>
      </c>
      <c r="U187" s="26">
        <v>275.27499999999998</v>
      </c>
    </row>
    <row r="188" spans="1:21">
      <c r="A188" s="8" t="s">
        <v>213</v>
      </c>
      <c r="B188" s="7" t="s">
        <v>31</v>
      </c>
      <c r="C188" s="9">
        <v>1944000000000</v>
      </c>
      <c r="D188" s="9">
        <v>8573100000000</v>
      </c>
      <c r="E188" s="9">
        <v>12813700000000</v>
      </c>
      <c r="F188" s="9">
        <v>2873800000000</v>
      </c>
      <c r="G188" s="9">
        <v>2973400000000</v>
      </c>
      <c r="H188" s="9">
        <v>1945000000000</v>
      </c>
      <c r="I188" s="9">
        <v>1268200000000</v>
      </c>
      <c r="J188" s="9">
        <v>0.89654401004203799</v>
      </c>
      <c r="K188" s="9">
        <v>0.93760165606979196</v>
      </c>
      <c r="L188" s="9">
        <v>0.91446572901419199</v>
      </c>
      <c r="M188" s="9">
        <v>0.91486415802590704</v>
      </c>
      <c r="N188" s="9">
        <v>0.91451946586420896</v>
      </c>
      <c r="O188" s="9">
        <v>0.90883106013859005</v>
      </c>
      <c r="P188" s="9">
        <v>0.911140160693789</v>
      </c>
      <c r="Q188" s="9">
        <v>0.87014905331005798</v>
      </c>
      <c r="R188" s="9">
        <v>140428000</v>
      </c>
      <c r="S188" s="9">
        <v>1799.0437440789301</v>
      </c>
      <c r="T188" s="2">
        <f t="shared" si="2"/>
        <v>0</v>
      </c>
      <c r="U188" s="25">
        <v>277.625</v>
      </c>
    </row>
    <row r="189" spans="1:21">
      <c r="A189" s="8" t="s">
        <v>214</v>
      </c>
      <c r="B189" s="7" t="s">
        <v>31</v>
      </c>
      <c r="C189" s="10">
        <v>1960100000000</v>
      </c>
      <c r="D189" s="10">
        <v>8723900000000</v>
      </c>
      <c r="E189" s="10">
        <v>12974100000000</v>
      </c>
      <c r="F189" s="10">
        <v>2948500000000</v>
      </c>
      <c r="G189" s="10">
        <v>2979200000000</v>
      </c>
      <c r="H189" s="10">
        <v>1989200000000</v>
      </c>
      <c r="I189" s="10">
        <v>1300100000000</v>
      </c>
      <c r="J189" s="10">
        <v>0.90260278952421502</v>
      </c>
      <c r="K189" s="10">
        <v>0.94374274099883904</v>
      </c>
      <c r="L189" s="10">
        <v>0.92452652702872196</v>
      </c>
      <c r="M189" s="10">
        <v>0.92484400707788805</v>
      </c>
      <c r="N189" s="10">
        <v>0.92469319449609499</v>
      </c>
      <c r="O189" s="10">
        <v>0.915428958490619</v>
      </c>
      <c r="P189" s="10">
        <v>0.91719497450454701</v>
      </c>
      <c r="Q189" s="10">
        <v>0.87774842147687104</v>
      </c>
      <c r="R189" s="10">
        <v>141525666.66666701</v>
      </c>
      <c r="S189" s="10">
        <v>1798.5650365050201</v>
      </c>
      <c r="T189" s="2">
        <f t="shared" si="2"/>
        <v>0</v>
      </c>
      <c r="U189" s="26">
        <v>285.14999999999998</v>
      </c>
    </row>
    <row r="190" spans="1:21">
      <c r="A190" s="8" t="s">
        <v>215</v>
      </c>
      <c r="B190" s="7" t="s">
        <v>31</v>
      </c>
      <c r="C190" s="9">
        <v>2002200000000</v>
      </c>
      <c r="D190" s="9">
        <v>8888100000000</v>
      </c>
      <c r="E190" s="9">
        <v>13205400000000</v>
      </c>
      <c r="F190" s="9">
        <v>3028700000000</v>
      </c>
      <c r="G190" s="9">
        <v>3046500000000</v>
      </c>
      <c r="H190" s="9">
        <v>2042300000000</v>
      </c>
      <c r="I190" s="9">
        <v>1310900000000</v>
      </c>
      <c r="J190" s="9">
        <v>0.91627388168912505</v>
      </c>
      <c r="K190" s="9">
        <v>0.95047853828306295</v>
      </c>
      <c r="L190" s="9">
        <v>0.93654720306750405</v>
      </c>
      <c r="M190" s="9">
        <v>0.93680811808118103</v>
      </c>
      <c r="N190" s="9">
        <v>0.94686819045852799</v>
      </c>
      <c r="O190" s="9">
        <v>0.92398438265298999</v>
      </c>
      <c r="P190" s="9">
        <v>0.92727329633184497</v>
      </c>
      <c r="Q190" s="9">
        <v>0.88907637655417404</v>
      </c>
      <c r="R190" s="9">
        <v>142287000</v>
      </c>
      <c r="S190" s="9">
        <v>1798.8420979871601</v>
      </c>
      <c r="T190" s="2">
        <f t="shared" si="2"/>
        <v>0</v>
      </c>
      <c r="U190" s="25">
        <v>286.35000000000002</v>
      </c>
    </row>
    <row r="191" spans="1:21">
      <c r="A191" s="8" t="s">
        <v>216</v>
      </c>
      <c r="B191" s="7" t="s">
        <v>31</v>
      </c>
      <c r="C191" s="10">
        <v>2013800000000</v>
      </c>
      <c r="D191" s="10">
        <v>8991300000000.0098</v>
      </c>
      <c r="E191" s="10">
        <v>13381600000000</v>
      </c>
      <c r="F191" s="10">
        <v>3073800000000</v>
      </c>
      <c r="G191" s="10">
        <v>3164000000000</v>
      </c>
      <c r="H191" s="10">
        <v>2143900000000</v>
      </c>
      <c r="I191" s="10">
        <v>1356400000000</v>
      </c>
      <c r="J191" s="10">
        <v>0.92481831429219497</v>
      </c>
      <c r="K191" s="10">
        <v>0.95649107961356805</v>
      </c>
      <c r="L191" s="10">
        <v>0.94817693873773801</v>
      </c>
      <c r="M191" s="10">
        <v>0.94849811139756601</v>
      </c>
      <c r="N191" s="10">
        <v>0.96485148514851504</v>
      </c>
      <c r="O191" s="10">
        <v>0.93099753711717503</v>
      </c>
      <c r="P191" s="10">
        <v>0.934520283121824</v>
      </c>
      <c r="Q191" s="10">
        <v>0.89953991155581403</v>
      </c>
      <c r="R191" s="10">
        <v>142599666.66666701</v>
      </c>
      <c r="S191" s="10">
        <v>1799.5491214289</v>
      </c>
      <c r="T191" s="2">
        <f t="shared" si="2"/>
        <v>0</v>
      </c>
      <c r="U191" s="26">
        <v>278.10000000000002</v>
      </c>
    </row>
    <row r="192" spans="1:21">
      <c r="A192" s="8" t="s">
        <v>217</v>
      </c>
      <c r="B192" s="7" t="s">
        <v>31</v>
      </c>
      <c r="C192" s="9">
        <v>2057900000000</v>
      </c>
      <c r="D192" s="9">
        <v>9134300000000</v>
      </c>
      <c r="E192" s="9">
        <v>13648900000000</v>
      </c>
      <c r="F192" s="9">
        <v>3159600000000</v>
      </c>
      <c r="G192" s="9">
        <v>3233900000000</v>
      </c>
      <c r="H192" s="9">
        <v>2194400000000</v>
      </c>
      <c r="I192" s="9">
        <v>1417200000000</v>
      </c>
      <c r="J192" s="9">
        <v>0.92963426721392495</v>
      </c>
      <c r="K192" s="9">
        <v>0.96342624065261695</v>
      </c>
      <c r="L192" s="9">
        <v>0.95684564368129399</v>
      </c>
      <c r="M192" s="9">
        <v>0.95771019042260197</v>
      </c>
      <c r="N192" s="9">
        <v>0.96673862284682099</v>
      </c>
      <c r="O192" s="9">
        <v>0.93832023703948098</v>
      </c>
      <c r="P192" s="9">
        <v>0.93885417094930701</v>
      </c>
      <c r="Q192" s="9">
        <v>0.91174515971822201</v>
      </c>
      <c r="R192" s="9">
        <v>143449333.33333299</v>
      </c>
      <c r="S192" s="9">
        <v>1800.83106923849</v>
      </c>
      <c r="T192" s="2">
        <f t="shared" si="2"/>
        <v>0</v>
      </c>
      <c r="U192" s="25">
        <v>288.32499999999999</v>
      </c>
    </row>
    <row r="193" spans="1:21">
      <c r="A193" s="8" t="s">
        <v>218</v>
      </c>
      <c r="B193" s="7" t="s">
        <v>31</v>
      </c>
      <c r="C193" s="10">
        <v>2077000000000</v>
      </c>
      <c r="D193" s="10">
        <v>9253700000000</v>
      </c>
      <c r="E193" s="10">
        <v>13799800000000</v>
      </c>
      <c r="F193" s="10">
        <v>3173400000000</v>
      </c>
      <c r="G193" s="10">
        <v>3250700000000</v>
      </c>
      <c r="H193" s="10">
        <v>2245000000000</v>
      </c>
      <c r="I193" s="10">
        <v>1463400000000</v>
      </c>
      <c r="J193" s="10">
        <v>0.93802334649693797</v>
      </c>
      <c r="K193" s="10">
        <v>0.97657657657657704</v>
      </c>
      <c r="L193" s="10">
        <v>0.96438339512550897</v>
      </c>
      <c r="M193" s="10">
        <v>0.96431326016019003</v>
      </c>
      <c r="N193" s="10">
        <v>0.97710654596100299</v>
      </c>
      <c r="O193" s="10">
        <v>0.94586554806163303</v>
      </c>
      <c r="P193" s="10">
        <v>0.946089356916471</v>
      </c>
      <c r="Q193" s="10">
        <v>0.92130943931866605</v>
      </c>
      <c r="R193" s="10">
        <v>144067666.66666701</v>
      </c>
      <c r="S193" s="10">
        <v>1800.7130907350499</v>
      </c>
      <c r="T193" s="2">
        <f t="shared" si="2"/>
        <v>0</v>
      </c>
      <c r="U193" s="26">
        <v>286.75</v>
      </c>
    </row>
    <row r="194" spans="1:21">
      <c r="A194" s="8" t="s">
        <v>219</v>
      </c>
      <c r="B194" s="7" t="s">
        <v>31</v>
      </c>
      <c r="C194" s="9">
        <v>2099600000000</v>
      </c>
      <c r="D194" s="9">
        <v>9374300000000</v>
      </c>
      <c r="E194" s="9">
        <v>13908500000000</v>
      </c>
      <c r="F194" s="9">
        <v>3163000000000</v>
      </c>
      <c r="G194" s="9">
        <v>3240200000000</v>
      </c>
      <c r="H194" s="9">
        <v>2285700000000</v>
      </c>
      <c r="I194" s="9">
        <v>1480100000000</v>
      </c>
      <c r="J194" s="9">
        <v>0.94687848574011901</v>
      </c>
      <c r="K194" s="9">
        <v>0.989702440655299</v>
      </c>
      <c r="L194" s="9">
        <v>0.97036446189716496</v>
      </c>
      <c r="M194" s="9">
        <v>0.97035218016291303</v>
      </c>
      <c r="N194" s="9">
        <v>0.987258120248791</v>
      </c>
      <c r="O194" s="9">
        <v>0.95246736882473004</v>
      </c>
      <c r="P194" s="9">
        <v>0.95285675079537702</v>
      </c>
      <c r="Q194" s="9">
        <v>0.92734419857780104</v>
      </c>
      <c r="R194" s="9">
        <v>144547333.33333299</v>
      </c>
      <c r="S194" s="9">
        <v>1799.8468469838199</v>
      </c>
      <c r="T194" s="2">
        <f t="shared" si="2"/>
        <v>0</v>
      </c>
      <c r="U194" s="25">
        <v>289.5</v>
      </c>
    </row>
    <row r="195" spans="1:21">
      <c r="A195" s="8" t="s">
        <v>220</v>
      </c>
      <c r="B195" s="7" t="s">
        <v>31</v>
      </c>
      <c r="C195" s="10">
        <v>2124900000000</v>
      </c>
      <c r="D195" s="10">
        <v>9453600000000</v>
      </c>
      <c r="E195" s="10">
        <v>14066400000000</v>
      </c>
      <c r="F195" s="10">
        <v>3168200000000</v>
      </c>
      <c r="G195" s="10">
        <v>3207300000000</v>
      </c>
      <c r="H195" s="10">
        <v>2263900000000</v>
      </c>
      <c r="I195" s="10">
        <v>1544500000000</v>
      </c>
      <c r="J195" s="10">
        <v>0.94299465273872396</v>
      </c>
      <c r="K195" s="10">
        <v>0.98873311567761302</v>
      </c>
      <c r="L195" s="10">
        <v>0.97959309875703404</v>
      </c>
      <c r="M195" s="10">
        <v>0.97920864627221105</v>
      </c>
      <c r="N195" s="10">
        <v>0.97523046437494598</v>
      </c>
      <c r="O195" s="10">
        <v>0.95579911530281603</v>
      </c>
      <c r="P195" s="10">
        <v>0.95121951219512202</v>
      </c>
      <c r="Q195" s="10">
        <v>0.93156510302498896</v>
      </c>
      <c r="R195" s="10">
        <v>145606000</v>
      </c>
      <c r="S195" s="10">
        <v>1798.6089930426299</v>
      </c>
      <c r="T195" s="2">
        <f t="shared" si="2"/>
        <v>0</v>
      </c>
      <c r="U195" s="26">
        <v>291.52499999999998</v>
      </c>
    </row>
    <row r="196" spans="1:21">
      <c r="A196" s="8" t="s">
        <v>221</v>
      </c>
      <c r="B196" s="7" t="s">
        <v>31</v>
      </c>
      <c r="C196" s="9">
        <v>2160000000000</v>
      </c>
      <c r="D196" s="9">
        <v>9591900000000.0098</v>
      </c>
      <c r="E196" s="9">
        <v>14233200000000</v>
      </c>
      <c r="F196" s="9">
        <v>3189500000000</v>
      </c>
      <c r="G196" s="9">
        <v>3209700000000</v>
      </c>
      <c r="H196" s="9">
        <v>2308900000000</v>
      </c>
      <c r="I196" s="9">
        <v>1580500000000</v>
      </c>
      <c r="J196" s="9">
        <v>0.95223972881524399</v>
      </c>
      <c r="K196" s="9">
        <v>0.99546513825029903</v>
      </c>
      <c r="L196" s="9">
        <v>0.987461300309598</v>
      </c>
      <c r="M196" s="9">
        <v>0.98726584848205201</v>
      </c>
      <c r="N196" s="9">
        <v>0.97888667486327197</v>
      </c>
      <c r="O196" s="9">
        <v>0.96653537960070701</v>
      </c>
      <c r="P196" s="9">
        <v>0.96008287707568096</v>
      </c>
      <c r="Q196" s="9">
        <v>0.94978453961832698</v>
      </c>
      <c r="R196" s="9">
        <v>146135000</v>
      </c>
      <c r="S196" s="9">
        <v>1797.08339248624</v>
      </c>
      <c r="T196" s="2">
        <f t="shared" si="2"/>
        <v>0</v>
      </c>
      <c r="U196" s="25">
        <v>293.35000000000002</v>
      </c>
    </row>
    <row r="197" spans="1:21">
      <c r="A197" s="8" t="s">
        <v>222</v>
      </c>
      <c r="B197" s="7" t="s">
        <v>31</v>
      </c>
      <c r="C197" s="10">
        <v>2191800000000</v>
      </c>
      <c r="D197" s="10">
        <v>9700900000000</v>
      </c>
      <c r="E197" s="10">
        <v>14422300000000</v>
      </c>
      <c r="F197" s="10">
        <v>3215500000000</v>
      </c>
      <c r="G197" s="10">
        <v>3262500000000</v>
      </c>
      <c r="H197" s="10">
        <v>2358000000000</v>
      </c>
      <c r="I197" s="10">
        <v>1625100000000</v>
      </c>
      <c r="J197" s="10">
        <v>0.96302435629351801</v>
      </c>
      <c r="K197" s="10">
        <v>1.00581791174104</v>
      </c>
      <c r="L197" s="10">
        <v>0.99014626635873704</v>
      </c>
      <c r="M197" s="10">
        <v>0.98908594815825401</v>
      </c>
      <c r="N197" s="10">
        <v>0.99518865535578604</v>
      </c>
      <c r="O197" s="10">
        <v>0.97193824256841899</v>
      </c>
      <c r="P197" s="10">
        <v>0.96770943479041605</v>
      </c>
      <c r="Q197" s="10">
        <v>0.95824771564726996</v>
      </c>
      <c r="R197" s="10">
        <v>145850666.66666701</v>
      </c>
      <c r="S197" s="10">
        <v>1796.7518092775199</v>
      </c>
      <c r="T197" s="2">
        <f t="shared" si="2"/>
        <v>0</v>
      </c>
      <c r="U197" s="26">
        <v>296.22500000000002</v>
      </c>
    </row>
    <row r="198" spans="1:21">
      <c r="A198" s="8" t="s">
        <v>223</v>
      </c>
      <c r="B198" s="7" t="s">
        <v>31</v>
      </c>
      <c r="C198" s="9">
        <v>2227000000000</v>
      </c>
      <c r="D198" s="9">
        <v>9799200000000.0098</v>
      </c>
      <c r="E198" s="9">
        <v>14569700000000</v>
      </c>
      <c r="F198" s="9">
        <v>3206800000000</v>
      </c>
      <c r="G198" s="9">
        <v>3255600000000</v>
      </c>
      <c r="H198" s="9">
        <v>2399600000000.0098</v>
      </c>
      <c r="I198" s="9">
        <v>1687500000000</v>
      </c>
      <c r="J198" s="9">
        <v>0.96912042057250802</v>
      </c>
      <c r="K198" s="9">
        <v>1.0131484149855901</v>
      </c>
      <c r="L198" s="9">
        <v>0.99180403921689897</v>
      </c>
      <c r="M198" s="9">
        <v>0.99147277378486998</v>
      </c>
      <c r="N198" s="9">
        <v>1.0130451302402199</v>
      </c>
      <c r="O198" s="9">
        <v>0.97531211299661902</v>
      </c>
      <c r="P198" s="9">
        <v>0.97318555595280698</v>
      </c>
      <c r="Q198" s="9">
        <v>0.96557405480402303</v>
      </c>
      <c r="R198" s="9">
        <v>145943666.66666701</v>
      </c>
      <c r="S198" s="9">
        <v>1797.0057954429701</v>
      </c>
      <c r="T198" s="2">
        <f t="shared" si="2"/>
        <v>0</v>
      </c>
      <c r="U198" s="25">
        <v>297.55</v>
      </c>
    </row>
    <row r="199" spans="1:21">
      <c r="A199" s="8" t="s">
        <v>224</v>
      </c>
      <c r="B199" s="7" t="s">
        <v>31</v>
      </c>
      <c r="C199" s="10">
        <v>2259900000000</v>
      </c>
      <c r="D199" s="10">
        <v>9910000000000</v>
      </c>
      <c r="E199" s="10">
        <v>14685300000000</v>
      </c>
      <c r="F199" s="10">
        <v>3194000000000</v>
      </c>
      <c r="G199" s="10">
        <v>3216000000000</v>
      </c>
      <c r="H199" s="10">
        <v>2466000000000</v>
      </c>
      <c r="I199" s="10">
        <v>1765400000000</v>
      </c>
      <c r="J199" s="10">
        <v>0.98100805662317803</v>
      </c>
      <c r="K199" s="10">
        <v>1.0283683811964801</v>
      </c>
      <c r="L199" s="10">
        <v>0.99396278085516898</v>
      </c>
      <c r="M199" s="10">
        <v>0.99468019299764898</v>
      </c>
      <c r="N199" s="10">
        <v>1.0541615013038099</v>
      </c>
      <c r="O199" s="10">
        <v>0.97955549033471601</v>
      </c>
      <c r="P199" s="10">
        <v>0.98295939217203299</v>
      </c>
      <c r="Q199" s="10">
        <v>0.97619870410367204</v>
      </c>
      <c r="R199" s="10">
        <v>146271333.33333299</v>
      </c>
      <c r="S199" s="10">
        <v>1797.15900279327</v>
      </c>
      <c r="T199" s="2">
        <f t="shared" si="2"/>
        <v>0</v>
      </c>
      <c r="U199" s="26">
        <v>297.52499999999998</v>
      </c>
    </row>
    <row r="200" spans="1:21">
      <c r="A200" s="8" t="s">
        <v>225</v>
      </c>
      <c r="B200" s="7" t="s">
        <v>31</v>
      </c>
      <c r="C200" s="9">
        <v>2312500000000</v>
      </c>
      <c r="D200" s="9">
        <v>9974400000000</v>
      </c>
      <c r="E200" s="9">
        <v>14668400000000</v>
      </c>
      <c r="F200" s="9">
        <v>3158500000000</v>
      </c>
      <c r="G200" s="9">
        <v>3138300000000</v>
      </c>
      <c r="H200" s="9">
        <v>2571400000000</v>
      </c>
      <c r="I200" s="9">
        <v>1814600000000</v>
      </c>
      <c r="J200" s="9">
        <v>0.99163422371499499</v>
      </c>
      <c r="K200" s="9">
        <v>1.0441337246101601</v>
      </c>
      <c r="L200" s="9">
        <v>0.99747355123953896</v>
      </c>
      <c r="M200" s="9">
        <v>0.99771101573676702</v>
      </c>
      <c r="N200" s="9">
        <v>1.0888380758807601</v>
      </c>
      <c r="O200" s="9">
        <v>0.98515060948990896</v>
      </c>
      <c r="P200" s="9">
        <v>0.99139250571513804</v>
      </c>
      <c r="Q200" s="9">
        <v>0.99406783303959101</v>
      </c>
      <c r="R200" s="9">
        <v>146206666.66666701</v>
      </c>
      <c r="S200" s="9">
        <v>1797.5654173237101</v>
      </c>
      <c r="T200" s="2">
        <f t="shared" si="2"/>
        <v>0</v>
      </c>
      <c r="U200" s="25">
        <v>288.07499999999999</v>
      </c>
    </row>
    <row r="201" spans="1:21">
      <c r="A201" s="8" t="s">
        <v>226</v>
      </c>
      <c r="B201" s="7" t="s">
        <v>31</v>
      </c>
      <c r="C201" s="10">
        <v>2350699999999.9902</v>
      </c>
      <c r="D201" s="10">
        <v>10095799999999.9</v>
      </c>
      <c r="E201" s="10">
        <v>14813000000000</v>
      </c>
      <c r="F201" s="10">
        <v>3149900000000</v>
      </c>
      <c r="G201" s="10">
        <v>3125900000000.0098</v>
      </c>
      <c r="H201" s="10">
        <v>2679899999999.9902</v>
      </c>
      <c r="I201" s="10">
        <v>1920500000000</v>
      </c>
      <c r="J201" s="10">
        <v>1.00453476341243</v>
      </c>
      <c r="K201" s="10">
        <v>1.0729050279329599</v>
      </c>
      <c r="L201" s="10">
        <v>1.0007307154657501</v>
      </c>
      <c r="M201" s="10">
        <v>1.0027587976774801</v>
      </c>
      <c r="N201" s="10">
        <v>1.14506067338916</v>
      </c>
      <c r="O201" s="10">
        <v>0.98994880842588995</v>
      </c>
      <c r="P201" s="10">
        <v>1.0017761636848901</v>
      </c>
      <c r="Q201" s="10">
        <v>1.00793242432038</v>
      </c>
      <c r="R201" s="10">
        <v>145925666.66666701</v>
      </c>
      <c r="S201" s="10">
        <v>1794.5765459316699</v>
      </c>
      <c r="T201" s="2">
        <f t="shared" ref="T201:T227" si="3">E201-(C201+D201+G201+I201-H201)</f>
        <v>8.984375E-2</v>
      </c>
      <c r="U201" s="26">
        <v>284.95</v>
      </c>
    </row>
    <row r="202" spans="1:21">
      <c r="A202" s="8" t="s">
        <v>227</v>
      </c>
      <c r="B202" s="7" t="s">
        <v>31</v>
      </c>
      <c r="C202" s="9">
        <v>2410100000000</v>
      </c>
      <c r="D202" s="9">
        <v>10124900000000</v>
      </c>
      <c r="E202" s="9">
        <v>14843000000000</v>
      </c>
      <c r="F202" s="9">
        <v>3100400000000</v>
      </c>
      <c r="G202" s="9">
        <v>3081600000000</v>
      </c>
      <c r="H202" s="9">
        <v>2697200000000.0098</v>
      </c>
      <c r="I202" s="9">
        <v>1923600000000.01</v>
      </c>
      <c r="J202" s="9">
        <v>1.0200234894219899</v>
      </c>
      <c r="K202" s="9">
        <v>1.0891795481569599</v>
      </c>
      <c r="L202" s="9">
        <v>1.00835853904446</v>
      </c>
      <c r="M202" s="9">
        <v>1.0088061020722201</v>
      </c>
      <c r="N202" s="9">
        <v>1.1762756214566099</v>
      </c>
      <c r="O202" s="9">
        <v>0.99673641516022504</v>
      </c>
      <c r="P202" s="9">
        <v>1.01197389331441</v>
      </c>
      <c r="Q202" s="9">
        <v>1.0184238326642701</v>
      </c>
      <c r="R202" s="9">
        <v>145270333.33333299</v>
      </c>
      <c r="S202" s="9">
        <v>1789.3414621741699</v>
      </c>
      <c r="T202" s="2">
        <f t="shared" si="3"/>
        <v>0</v>
      </c>
      <c r="U202" s="25">
        <v>275.47500000000002</v>
      </c>
    </row>
    <row r="203" spans="1:21">
      <c r="A203" s="8" t="s">
        <v>228</v>
      </c>
      <c r="B203" s="7" t="s">
        <v>31</v>
      </c>
      <c r="C203" s="10">
        <v>2401100000000</v>
      </c>
      <c r="D203" s="10">
        <v>9859600000000</v>
      </c>
      <c r="E203" s="10">
        <v>14549900000000</v>
      </c>
      <c r="F203" s="10">
        <v>2957000000000</v>
      </c>
      <c r="G203" s="10">
        <v>2891700000000</v>
      </c>
      <c r="H203" s="10">
        <v>2311600000000.0098</v>
      </c>
      <c r="I203" s="10">
        <v>1709100000000</v>
      </c>
      <c r="J203" s="10">
        <v>0.99666301068520102</v>
      </c>
      <c r="K203" s="10">
        <v>1.02390366642703</v>
      </c>
      <c r="L203" s="10">
        <v>1.01636076166907</v>
      </c>
      <c r="M203" s="10">
        <v>1.0196762932402399</v>
      </c>
      <c r="N203" s="10">
        <v>1.05096612866561</v>
      </c>
      <c r="O203" s="10">
        <v>0.99814090690814095</v>
      </c>
      <c r="P203" s="10">
        <v>0.99746072212611403</v>
      </c>
      <c r="Q203" s="10">
        <v>1.00443421878268</v>
      </c>
      <c r="R203" s="10">
        <v>144090333.33333299</v>
      </c>
      <c r="S203" s="10">
        <v>1782.5165745704501</v>
      </c>
      <c r="T203" s="2">
        <f t="shared" si="3"/>
        <v>0</v>
      </c>
      <c r="U203" s="26">
        <v>253.77500000000001</v>
      </c>
    </row>
    <row r="204" spans="1:21">
      <c r="A204" s="8" t="s">
        <v>229</v>
      </c>
      <c r="B204" s="7" t="s">
        <v>31</v>
      </c>
      <c r="C204" s="9">
        <v>2392700000000</v>
      </c>
      <c r="D204" s="9">
        <v>9770199999999.9902</v>
      </c>
      <c r="E204" s="9">
        <v>14383900000000</v>
      </c>
      <c r="F204" s="9">
        <v>2760599999999.9902</v>
      </c>
      <c r="G204" s="9">
        <v>2614900000000.0098</v>
      </c>
      <c r="H204" s="9">
        <v>1913400000000</v>
      </c>
      <c r="I204" s="9">
        <v>1519500000000</v>
      </c>
      <c r="J204" s="9">
        <v>0.989807268671139</v>
      </c>
      <c r="K204" s="9">
        <v>0.98970885169022305</v>
      </c>
      <c r="L204" s="9">
        <v>1.01213565536205</v>
      </c>
      <c r="M204" s="9">
        <v>1.0151797499805899</v>
      </c>
      <c r="N204" s="9">
        <v>0.96310464589520295</v>
      </c>
      <c r="O204" s="9">
        <v>1.00061913043478</v>
      </c>
      <c r="P204" s="9">
        <v>0.99181792341738695</v>
      </c>
      <c r="Q204" s="9">
        <v>0.99596237096237095</v>
      </c>
      <c r="R204" s="9">
        <v>141499666.66666701</v>
      </c>
      <c r="S204" s="9">
        <v>1772.37369072413</v>
      </c>
      <c r="T204" s="2">
        <f t="shared" si="3"/>
        <v>0</v>
      </c>
      <c r="U204" s="25">
        <v>253</v>
      </c>
    </row>
    <row r="205" spans="1:21">
      <c r="A205" s="8" t="s">
        <v>230</v>
      </c>
      <c r="B205" s="7" t="s">
        <v>31</v>
      </c>
      <c r="C205" s="10">
        <v>2434600000000</v>
      </c>
      <c r="D205" s="10">
        <v>9769799999999.9902</v>
      </c>
      <c r="E205" s="10">
        <v>14340400000000</v>
      </c>
      <c r="F205" s="10">
        <v>2665700000000</v>
      </c>
      <c r="G205" s="10">
        <v>2477800000000.0098</v>
      </c>
      <c r="H205" s="10">
        <v>1864500000000</v>
      </c>
      <c r="I205" s="10">
        <v>1522700000000</v>
      </c>
      <c r="J205" s="10">
        <v>0.99507063915462901</v>
      </c>
      <c r="K205" s="10">
        <v>0.98915161751331704</v>
      </c>
      <c r="L205" s="10">
        <v>1.00131470212606</v>
      </c>
      <c r="M205" s="10">
        <v>1.00242738085606</v>
      </c>
      <c r="N205" s="10">
        <v>0.978380647531091</v>
      </c>
      <c r="O205" s="10">
        <v>0.99894117974866903</v>
      </c>
      <c r="P205" s="10">
        <v>0.99626774351443903</v>
      </c>
      <c r="Q205" s="10">
        <v>0.99582787958115204</v>
      </c>
      <c r="R205" s="10">
        <v>140304333.33333299</v>
      </c>
      <c r="S205" s="10">
        <v>1766.8511305368399</v>
      </c>
      <c r="T205" s="2">
        <f t="shared" si="3"/>
        <v>0</v>
      </c>
      <c r="U205" s="26">
        <v>251.2</v>
      </c>
    </row>
    <row r="206" spans="1:21">
      <c r="A206" s="8" t="s">
        <v>231</v>
      </c>
      <c r="B206" s="7" t="s">
        <v>31</v>
      </c>
      <c r="C206" s="9">
        <v>2461100000000</v>
      </c>
      <c r="D206" s="9">
        <v>9890800000000.0293</v>
      </c>
      <c r="E206" s="9">
        <v>14384100000000</v>
      </c>
      <c r="F206" s="9">
        <v>2643700000000</v>
      </c>
      <c r="G206" s="9">
        <v>2437800000000</v>
      </c>
      <c r="H206" s="9">
        <v>2002000000000.01</v>
      </c>
      <c r="I206" s="9">
        <v>1596400000000</v>
      </c>
      <c r="J206" s="9">
        <v>1.0036321606228999</v>
      </c>
      <c r="K206" s="9">
        <v>1.00194564739848</v>
      </c>
      <c r="L206" s="9">
        <v>0.99271525665577698</v>
      </c>
      <c r="M206" s="9">
        <v>0.99117706850985998</v>
      </c>
      <c r="N206" s="9">
        <v>1.01264542235711</v>
      </c>
      <c r="O206" s="9">
        <v>0.99872244402013599</v>
      </c>
      <c r="P206" s="9">
        <v>1.0025238447582101</v>
      </c>
      <c r="Q206" s="9">
        <v>1.00109827530101</v>
      </c>
      <c r="R206" s="9">
        <v>139403666.66666701</v>
      </c>
      <c r="S206" s="9">
        <v>1764.12344396356</v>
      </c>
      <c r="T206" s="2">
        <f t="shared" si="3"/>
        <v>-1.953125E-2</v>
      </c>
      <c r="U206" s="25">
        <v>261.45</v>
      </c>
    </row>
    <row r="207" spans="1:21">
      <c r="A207" s="8" t="s">
        <v>232</v>
      </c>
      <c r="B207" s="7" t="s">
        <v>31</v>
      </c>
      <c r="C207" s="10">
        <v>2479899999999.9902</v>
      </c>
      <c r="D207" s="10">
        <v>9957100000000.0391</v>
      </c>
      <c r="E207" s="10">
        <v>14566500000000</v>
      </c>
      <c r="F207" s="10">
        <v>2620800000000</v>
      </c>
      <c r="G207" s="10">
        <v>2570100000000</v>
      </c>
      <c r="H207" s="10">
        <v>2152900000000.01</v>
      </c>
      <c r="I207" s="10">
        <v>1712300000000.01</v>
      </c>
      <c r="J207" s="10">
        <v>1.0114899315513299</v>
      </c>
      <c r="K207" s="10">
        <v>1.0174698437221501</v>
      </c>
      <c r="L207" s="10">
        <v>0.99344225010424203</v>
      </c>
      <c r="M207" s="10">
        <v>0.99097744360902296</v>
      </c>
      <c r="N207" s="10">
        <v>1.04337501211593</v>
      </c>
      <c r="O207" s="10">
        <v>1.00169166340025</v>
      </c>
      <c r="P207" s="10">
        <v>1.00935649987836</v>
      </c>
      <c r="Q207" s="10">
        <v>1.0069842043285799</v>
      </c>
      <c r="R207" s="10">
        <v>138368000</v>
      </c>
      <c r="S207" s="10">
        <v>1764.65173477547</v>
      </c>
      <c r="T207" s="2">
        <f t="shared" si="3"/>
        <v>-2.9296875E-2</v>
      </c>
      <c r="U207" s="26">
        <v>257.67500000000001</v>
      </c>
    </row>
    <row r="208" spans="1:21">
      <c r="A208" s="8" t="s">
        <v>233</v>
      </c>
      <c r="B208" s="7" t="s">
        <v>31</v>
      </c>
      <c r="C208" s="9">
        <v>2500300000000</v>
      </c>
      <c r="D208" s="9">
        <v>10044500000000</v>
      </c>
      <c r="E208" s="9">
        <v>14681100000000</v>
      </c>
      <c r="F208" s="9">
        <v>2612900000000</v>
      </c>
      <c r="G208" s="9">
        <v>2625000000000.0098</v>
      </c>
      <c r="H208" s="9">
        <v>2241900000000.0098</v>
      </c>
      <c r="I208" s="9">
        <v>1753199999999.99</v>
      </c>
      <c r="J208" s="9">
        <v>1.0130931778143</v>
      </c>
      <c r="K208" s="9">
        <v>1.0263435194942001</v>
      </c>
      <c r="L208" s="9">
        <v>0.99240381328573102</v>
      </c>
      <c r="M208" s="9">
        <v>0.99150141643059497</v>
      </c>
      <c r="N208" s="9">
        <v>1.0590486088147799</v>
      </c>
      <c r="O208" s="9">
        <v>1.0052243098159499</v>
      </c>
      <c r="P208" s="9">
        <v>1.0127852223801901</v>
      </c>
      <c r="Q208" s="9">
        <v>1.02090563880609</v>
      </c>
      <c r="R208" s="9">
        <v>138590000</v>
      </c>
      <c r="S208" s="9">
        <v>1770.18170031106</v>
      </c>
      <c r="T208" s="2">
        <f t="shared" si="3"/>
        <v>0</v>
      </c>
      <c r="U208" s="25">
        <v>260.05</v>
      </c>
    </row>
    <row r="209" spans="1:21">
      <c r="A209" s="8" t="s">
        <v>234</v>
      </c>
      <c r="B209" s="7" t="s">
        <v>31</v>
      </c>
      <c r="C209" s="10">
        <v>2526100000000</v>
      </c>
      <c r="D209" s="10">
        <v>10137700000000.1</v>
      </c>
      <c r="E209" s="10">
        <v>14888600000000.1</v>
      </c>
      <c r="F209" s="10">
        <v>2697900000000</v>
      </c>
      <c r="G209" s="10">
        <v>2748100000000</v>
      </c>
      <c r="H209" s="10">
        <v>2337300000000</v>
      </c>
      <c r="I209" s="10">
        <v>1814000000000.01</v>
      </c>
      <c r="J209" s="10">
        <v>1.0127358651781799</v>
      </c>
      <c r="K209" s="10">
        <v>1.0376980721926701</v>
      </c>
      <c r="L209" s="10">
        <v>0.99403117055377499</v>
      </c>
      <c r="M209" s="10">
        <v>0.99291830762004596</v>
      </c>
      <c r="N209" s="10">
        <v>1.0538822256289999</v>
      </c>
      <c r="O209" s="10">
        <v>1.0096772662231599</v>
      </c>
      <c r="P209" s="10">
        <v>1.0139322291566699</v>
      </c>
      <c r="Q209" s="10">
        <v>1.0290032180536901</v>
      </c>
      <c r="R209" s="10">
        <v>139226333.33333299</v>
      </c>
      <c r="S209" s="10">
        <v>1774.90903440436</v>
      </c>
      <c r="T209" s="2">
        <f t="shared" si="3"/>
        <v>0</v>
      </c>
      <c r="U209" s="26">
        <v>266.17500000000001</v>
      </c>
    </row>
    <row r="210" spans="1:21">
      <c r="A210" s="8" t="s">
        <v>235</v>
      </c>
      <c r="B210" s="7" t="s">
        <v>31</v>
      </c>
      <c r="C210" s="9">
        <v>2534199999999.9902</v>
      </c>
      <c r="D210" s="9">
        <v>10233400000000</v>
      </c>
      <c r="E210" s="9">
        <v>15057700000000</v>
      </c>
      <c r="F210" s="9">
        <v>2703500000000</v>
      </c>
      <c r="G210" s="9">
        <v>2825199999999.9902</v>
      </c>
      <c r="H210" s="9">
        <v>2404900000000</v>
      </c>
      <c r="I210" s="9">
        <v>1869800000000</v>
      </c>
      <c r="J210" s="9">
        <v>1.0157046671244401</v>
      </c>
      <c r="K210" s="9">
        <v>1.0402225312934601</v>
      </c>
      <c r="L210" s="9">
        <v>0.99580095031124505</v>
      </c>
      <c r="M210" s="9">
        <v>0.99513913349770999</v>
      </c>
      <c r="N210" s="9">
        <v>1.0474303135888501</v>
      </c>
      <c r="O210" s="9">
        <v>1.0142938937725201</v>
      </c>
      <c r="P210" s="9">
        <v>1.0169232145164</v>
      </c>
      <c r="Q210" s="9">
        <v>1.03457848540518</v>
      </c>
      <c r="R210" s="9">
        <v>139337666.66666701</v>
      </c>
      <c r="S210" s="9">
        <v>1779.6425539889401</v>
      </c>
      <c r="T210" s="2">
        <f t="shared" si="3"/>
        <v>1.953125E-2</v>
      </c>
      <c r="U210" s="25">
        <v>268.77499999999998</v>
      </c>
    </row>
    <row r="211" spans="1:21">
      <c r="A211" s="8" t="s">
        <v>236</v>
      </c>
      <c r="B211" s="7" t="s">
        <v>31</v>
      </c>
      <c r="C211" s="10">
        <v>2528200000000.0098</v>
      </c>
      <c r="D211" s="10">
        <v>10393200000000</v>
      </c>
      <c r="E211" s="10">
        <v>15230200000000</v>
      </c>
      <c r="F211" s="10">
        <v>2749999999999.9902</v>
      </c>
      <c r="G211" s="10">
        <v>2812499999999.9902</v>
      </c>
      <c r="H211" s="10">
        <v>2475900000000.0098</v>
      </c>
      <c r="I211" s="10">
        <v>1972199999999.99</v>
      </c>
      <c r="J211" s="10">
        <v>1.0239290718881999</v>
      </c>
      <c r="K211" s="10">
        <v>1.06455791860088</v>
      </c>
      <c r="L211" s="10">
        <v>1.00050935021465</v>
      </c>
      <c r="M211" s="10">
        <v>1.0005336179295601</v>
      </c>
      <c r="N211" s="10">
        <v>1.0714934868221799</v>
      </c>
      <c r="O211" s="10">
        <v>1.0194926032532301</v>
      </c>
      <c r="P211" s="10">
        <v>1.0223389500398401</v>
      </c>
      <c r="Q211" s="10">
        <v>1.04216991631972</v>
      </c>
      <c r="R211" s="10">
        <v>139154666.66666701</v>
      </c>
      <c r="S211" s="10">
        <v>1783.2667112956401</v>
      </c>
      <c r="T211" s="2">
        <f t="shared" si="3"/>
        <v>2.1484375E-2</v>
      </c>
      <c r="U211" s="26">
        <v>275.7</v>
      </c>
    </row>
    <row r="212" spans="1:21">
      <c r="A212" s="8" t="s">
        <v>237</v>
      </c>
      <c r="B212" s="7" t="s">
        <v>31</v>
      </c>
      <c r="C212" s="9">
        <v>2516099999999.9902</v>
      </c>
      <c r="D212" s="9">
        <v>10523500000000</v>
      </c>
      <c r="E212" s="9">
        <v>15238400000000</v>
      </c>
      <c r="F212" s="9">
        <v>2734800000000.0098</v>
      </c>
      <c r="G212" s="9">
        <v>2761299999999.98</v>
      </c>
      <c r="H212" s="9">
        <v>2595800000000</v>
      </c>
      <c r="I212" s="9">
        <v>2033300000000</v>
      </c>
      <c r="J212" s="9">
        <v>1.0348022507589001</v>
      </c>
      <c r="K212" s="9">
        <v>1.0918219406110701</v>
      </c>
      <c r="L212" s="9">
        <v>1.00514554542782</v>
      </c>
      <c r="M212" s="9">
        <v>1.0048398835516701</v>
      </c>
      <c r="N212" s="9">
        <v>1.11479493235989</v>
      </c>
      <c r="O212" s="9">
        <v>1.0239965594403699</v>
      </c>
      <c r="P212" s="9">
        <v>1.02998894011021</v>
      </c>
      <c r="Q212" s="9">
        <v>1.05315809300573</v>
      </c>
      <c r="R212" s="9">
        <v>139438666.66666701</v>
      </c>
      <c r="S212" s="9">
        <v>1785.1359099632</v>
      </c>
      <c r="T212" s="2">
        <f t="shared" si="3"/>
        <v>3.125E-2</v>
      </c>
      <c r="U212" s="25">
        <v>278.82499999999999</v>
      </c>
    </row>
    <row r="213" spans="1:21">
      <c r="A213" s="8" t="s">
        <v>238</v>
      </c>
      <c r="B213" s="7" t="s">
        <v>31</v>
      </c>
      <c r="C213" s="10">
        <v>2544799999999.9902</v>
      </c>
      <c r="D213" s="10">
        <v>10651400000000</v>
      </c>
      <c r="E213" s="10">
        <v>15460900000000</v>
      </c>
      <c r="F213" s="10">
        <v>2788700000000</v>
      </c>
      <c r="G213" s="10">
        <v>2851699999999.9902</v>
      </c>
      <c r="H213" s="10">
        <v>2695300000000</v>
      </c>
      <c r="I213" s="10">
        <v>2108300000000.01</v>
      </c>
      <c r="J213" s="10">
        <v>1.04672406453998</v>
      </c>
      <c r="K213" s="10">
        <v>1.1150896493362299</v>
      </c>
      <c r="L213" s="10">
        <v>1.0105816271063599</v>
      </c>
      <c r="M213" s="10">
        <v>1.0088442353274101</v>
      </c>
      <c r="N213" s="10">
        <v>1.1489407050598901</v>
      </c>
      <c r="O213" s="10">
        <v>1.0314417996477601</v>
      </c>
      <c r="P213" s="10">
        <v>1.04040946697012</v>
      </c>
      <c r="Q213" s="10">
        <v>1.06543855976554</v>
      </c>
      <c r="R213" s="10">
        <v>139547000</v>
      </c>
      <c r="S213" s="10">
        <v>1785.9749237554099</v>
      </c>
      <c r="T213" s="2">
        <f t="shared" si="3"/>
        <v>0</v>
      </c>
      <c r="U213" s="26">
        <v>278.07499999999999</v>
      </c>
    </row>
    <row r="214" spans="1:21">
      <c r="A214" s="8" t="s">
        <v>239</v>
      </c>
      <c r="B214" s="7" t="s">
        <v>31</v>
      </c>
      <c r="C214" s="9">
        <v>2539399999999.9902</v>
      </c>
      <c r="D214" s="9">
        <v>10754500000000</v>
      </c>
      <c r="E214" s="9">
        <v>15587099999999.9</v>
      </c>
      <c r="F214" s="9">
        <v>2880500000000</v>
      </c>
      <c r="G214" s="9">
        <v>2865599999999.9902</v>
      </c>
      <c r="H214" s="9">
        <v>2715300000000.0098</v>
      </c>
      <c r="I214" s="9">
        <v>2142900000000.01</v>
      </c>
      <c r="J214" s="9">
        <v>1.05357048535484</v>
      </c>
      <c r="K214" s="9">
        <v>1.12158484245787</v>
      </c>
      <c r="L214" s="9">
        <v>1.0142605633802799</v>
      </c>
      <c r="M214" s="9">
        <v>1.0138692329465</v>
      </c>
      <c r="N214" s="9">
        <v>1.14816694151973</v>
      </c>
      <c r="O214" s="9">
        <v>1.03768032966959</v>
      </c>
      <c r="P214" s="9">
        <v>1.0459337495866601</v>
      </c>
      <c r="Q214" s="9">
        <v>1.06895100185216</v>
      </c>
      <c r="R214" s="9">
        <v>139872000</v>
      </c>
      <c r="S214" s="9">
        <v>1786.25016165229</v>
      </c>
      <c r="T214" s="2">
        <f t="shared" si="3"/>
        <v>-8.203125E-2</v>
      </c>
      <c r="U214" s="25">
        <v>280.95</v>
      </c>
    </row>
    <row r="215" spans="1:21">
      <c r="A215" s="8" t="s">
        <v>240</v>
      </c>
      <c r="B215" s="7" t="s">
        <v>31</v>
      </c>
      <c r="C215" s="10">
        <v>2523100000000</v>
      </c>
      <c r="D215" s="10">
        <v>10827900000000</v>
      </c>
      <c r="E215" s="10">
        <v>15785300000000</v>
      </c>
      <c r="F215" s="10">
        <v>2939800000000</v>
      </c>
      <c r="G215" s="10">
        <v>3032400000000.0098</v>
      </c>
      <c r="H215" s="10">
        <v>2739099999999.9902</v>
      </c>
      <c r="I215" s="10">
        <v>2141000000000.01</v>
      </c>
      <c r="J215" s="10">
        <v>1.05813165883168</v>
      </c>
      <c r="K215" s="10">
        <v>1.1094988858371799</v>
      </c>
      <c r="L215" s="10">
        <v>1.0173022354488199</v>
      </c>
      <c r="M215" s="10">
        <v>1.01693551091586</v>
      </c>
      <c r="N215" s="10">
        <v>1.14544390080709</v>
      </c>
      <c r="O215" s="10">
        <v>1.0391697333166601</v>
      </c>
      <c r="P215" s="10">
        <v>1.04954055521092</v>
      </c>
      <c r="Q215" s="10">
        <v>1.0660835762876599</v>
      </c>
      <c r="R215" s="10">
        <v>140668666.66666701</v>
      </c>
      <c r="S215" s="10">
        <v>1786.6390046291001</v>
      </c>
      <c r="T215" s="2">
        <f t="shared" si="3"/>
        <v>-2.9296875E-2</v>
      </c>
      <c r="U215" s="26">
        <v>287.45</v>
      </c>
    </row>
    <row r="216" spans="1:21">
      <c r="A216" s="8" t="s">
        <v>241</v>
      </c>
      <c r="B216" s="7" t="s">
        <v>31</v>
      </c>
      <c r="C216" s="9">
        <v>2547999999999.9902</v>
      </c>
      <c r="D216" s="9">
        <v>10956200000000</v>
      </c>
      <c r="E216" s="9">
        <v>15973899999999.9</v>
      </c>
      <c r="F216" s="9">
        <v>3018800000000.0098</v>
      </c>
      <c r="G216" s="9">
        <v>3084400000000</v>
      </c>
      <c r="H216" s="9">
        <v>2784300000000</v>
      </c>
      <c r="I216" s="9">
        <v>2169600000000</v>
      </c>
      <c r="J216" s="9">
        <v>1.0640304243942</v>
      </c>
      <c r="K216" s="9">
        <v>1.11685370122516</v>
      </c>
      <c r="L216" s="9">
        <v>1.0229059365681801</v>
      </c>
      <c r="M216" s="9">
        <v>1.02145979599947</v>
      </c>
      <c r="N216" s="9">
        <v>1.15756870244876</v>
      </c>
      <c r="O216" s="9">
        <v>1.0446602576679</v>
      </c>
      <c r="P216" s="9">
        <v>1.0556122940553001</v>
      </c>
      <c r="Q216" s="9">
        <v>1.0755139082351901</v>
      </c>
      <c r="R216" s="9">
        <v>141871000</v>
      </c>
      <c r="S216" s="9">
        <v>1787.5659598202601</v>
      </c>
      <c r="T216" s="2">
        <f t="shared" si="3"/>
        <v>-9.1796875E-2</v>
      </c>
      <c r="U216" s="25">
        <v>294.7</v>
      </c>
    </row>
    <row r="217" spans="1:21">
      <c r="A217" s="8" t="s">
        <v>242</v>
      </c>
      <c r="B217" s="7" t="s">
        <v>31</v>
      </c>
      <c r="C217" s="10">
        <v>2536800000000</v>
      </c>
      <c r="D217" s="10">
        <v>11008300000000</v>
      </c>
      <c r="E217" s="10">
        <v>16121900000000</v>
      </c>
      <c r="F217" s="10">
        <v>3068500000000</v>
      </c>
      <c r="G217" s="10">
        <v>3157699999999.9902</v>
      </c>
      <c r="H217" s="10">
        <v>2780700000000</v>
      </c>
      <c r="I217" s="10">
        <v>2199800000000</v>
      </c>
      <c r="J217" s="10">
        <v>1.0666294854387299</v>
      </c>
      <c r="K217" s="10">
        <v>1.11983302789656</v>
      </c>
      <c r="L217" s="10">
        <v>1.02756010983859</v>
      </c>
      <c r="M217" s="10">
        <v>1.0270279060690799</v>
      </c>
      <c r="N217" s="10">
        <v>1.1504757964418699</v>
      </c>
      <c r="O217" s="10">
        <v>1.0494388897568101</v>
      </c>
      <c r="P217" s="10">
        <v>1.0588365427158899</v>
      </c>
      <c r="Q217" s="10">
        <v>1.0754620993725601</v>
      </c>
      <c r="R217" s="10">
        <v>142194666.66666701</v>
      </c>
      <c r="S217" s="10">
        <v>1788.69409652237</v>
      </c>
      <c r="T217" s="2">
        <f t="shared" si="3"/>
        <v>0</v>
      </c>
      <c r="U217" s="26">
        <v>295.39999999999998</v>
      </c>
    </row>
    <row r="218" spans="1:21">
      <c r="A218" s="8" t="s">
        <v>243</v>
      </c>
      <c r="B218" s="7" t="s">
        <v>31</v>
      </c>
      <c r="C218" s="9">
        <v>2546700000000.0098</v>
      </c>
      <c r="D218" s="9">
        <v>11073600000000</v>
      </c>
      <c r="E218" s="9">
        <v>16227900000000</v>
      </c>
      <c r="F218" s="9">
        <v>3068700000000</v>
      </c>
      <c r="G218" s="9">
        <v>3142700000000</v>
      </c>
      <c r="H218" s="9">
        <v>2744500000000</v>
      </c>
      <c r="I218" s="9">
        <v>2209400000000</v>
      </c>
      <c r="J218" s="9">
        <v>1.0713149415716201</v>
      </c>
      <c r="K218" s="9">
        <v>1.11919355655742</v>
      </c>
      <c r="L218" s="9">
        <v>1.0315651472367899</v>
      </c>
      <c r="M218" s="9">
        <v>1.02850503992669</v>
      </c>
      <c r="N218" s="9">
        <v>1.1336692965426101</v>
      </c>
      <c r="O218" s="9">
        <v>1.0550751586393401</v>
      </c>
      <c r="P218" s="9">
        <v>1.06230753734135</v>
      </c>
      <c r="Q218" s="9">
        <v>1.07833340390397</v>
      </c>
      <c r="R218" s="9">
        <v>142500000</v>
      </c>
      <c r="S218" s="9">
        <v>1789.6771237384701</v>
      </c>
      <c r="T218" s="2">
        <f t="shared" si="3"/>
        <v>0</v>
      </c>
      <c r="U218" s="25">
        <v>298.55</v>
      </c>
    </row>
    <row r="219" spans="1:21">
      <c r="A219" s="8" t="s">
        <v>244</v>
      </c>
      <c r="B219" s="7" t="s">
        <v>31</v>
      </c>
      <c r="C219" s="10">
        <v>2545100000000</v>
      </c>
      <c r="D219" s="10">
        <v>11164300000000</v>
      </c>
      <c r="E219" s="10">
        <v>16297300000000</v>
      </c>
      <c r="F219" s="10">
        <v>3101299999999.9902</v>
      </c>
      <c r="G219" s="10">
        <v>3119700000000</v>
      </c>
      <c r="H219" s="10">
        <v>2745799999999.9902</v>
      </c>
      <c r="I219" s="10">
        <v>2214000000000</v>
      </c>
      <c r="J219" s="10">
        <v>1.07831982277293</v>
      </c>
      <c r="K219" s="10">
        <v>1.1228888776182999</v>
      </c>
      <c r="L219" s="10">
        <v>1.03338775782213</v>
      </c>
      <c r="M219" s="10">
        <v>1.03236374466395</v>
      </c>
      <c r="N219" s="10">
        <v>1.1451330386187299</v>
      </c>
      <c r="O219" s="10">
        <v>1.0593462165974401</v>
      </c>
      <c r="P219" s="10">
        <v>1.0680270156507099</v>
      </c>
      <c r="Q219" s="10">
        <v>1.0845904713202099</v>
      </c>
      <c r="R219" s="10">
        <v>143303000</v>
      </c>
      <c r="S219" s="10">
        <v>1790.06281991891</v>
      </c>
      <c r="T219" s="2">
        <f t="shared" si="3"/>
        <v>0</v>
      </c>
      <c r="U219" s="26">
        <v>303.22500000000002</v>
      </c>
    </row>
    <row r="220" spans="1:21">
      <c r="A220" s="8" t="s">
        <v>245</v>
      </c>
      <c r="B220" s="7" t="s">
        <v>31</v>
      </c>
      <c r="C220" s="9">
        <v>2528400000000.0098</v>
      </c>
      <c r="D220" s="9">
        <v>11271800000000</v>
      </c>
      <c r="E220" s="9">
        <v>16440700000000</v>
      </c>
      <c r="F220" s="9">
        <v>3133100000000.0098</v>
      </c>
      <c r="G220" s="9">
        <v>3169700000000</v>
      </c>
      <c r="H220" s="9">
        <v>2755800000000</v>
      </c>
      <c r="I220" s="9">
        <v>2226599999999.9902</v>
      </c>
      <c r="J220" s="9">
        <v>1.08202344592306</v>
      </c>
      <c r="K220" s="9">
        <v>1.12647981382171</v>
      </c>
      <c r="L220" s="9">
        <v>1.0366951227582599</v>
      </c>
      <c r="M220" s="9">
        <v>1.0371715585223</v>
      </c>
      <c r="N220" s="9">
        <v>1.1470074086406401</v>
      </c>
      <c r="O220" s="9">
        <v>1.06362730636856</v>
      </c>
      <c r="P220" s="9">
        <v>1.07164724002206</v>
      </c>
      <c r="Q220" s="9">
        <v>1.08921724895533</v>
      </c>
      <c r="R220" s="9">
        <v>143377000</v>
      </c>
      <c r="S220" s="9">
        <v>1789.29239032792</v>
      </c>
      <c r="T220" s="2">
        <f t="shared" si="3"/>
        <v>0</v>
      </c>
      <c r="U220" s="25">
        <v>308.85000000000002</v>
      </c>
    </row>
    <row r="221" spans="1:21">
      <c r="A221" s="8" t="s">
        <v>246</v>
      </c>
      <c r="B221" s="7" t="s">
        <v>31</v>
      </c>
      <c r="C221" s="10">
        <v>2521000000000</v>
      </c>
      <c r="D221" s="10">
        <v>11322800000000</v>
      </c>
      <c r="E221" s="10">
        <v>16526800000000</v>
      </c>
      <c r="F221" s="10">
        <v>3161999999999.9902</v>
      </c>
      <c r="G221" s="10">
        <v>3210800000000.02</v>
      </c>
      <c r="H221" s="10">
        <v>2765400000000</v>
      </c>
      <c r="I221" s="10">
        <v>2237599999999.9902</v>
      </c>
      <c r="J221" s="10">
        <v>1.0816397232225301</v>
      </c>
      <c r="K221" s="10">
        <v>1.1185203699075199</v>
      </c>
      <c r="L221" s="10">
        <v>1.0421541808114401</v>
      </c>
      <c r="M221" s="10">
        <v>1.04101416853095</v>
      </c>
      <c r="N221" s="10">
        <v>1.1358278227297001</v>
      </c>
      <c r="O221" s="10">
        <v>1.0662314034657601</v>
      </c>
      <c r="P221" s="10">
        <v>1.0728139241825601</v>
      </c>
      <c r="Q221" s="10">
        <v>1.0913419913419899</v>
      </c>
      <c r="R221" s="10">
        <v>143860000</v>
      </c>
      <c r="S221" s="10">
        <v>1788.3627821761399</v>
      </c>
      <c r="T221" s="2">
        <f t="shared" si="3"/>
        <v>0</v>
      </c>
      <c r="U221" s="26">
        <v>308.89999999999998</v>
      </c>
    </row>
    <row r="222" spans="1:21">
      <c r="A222" s="8" t="s">
        <v>247</v>
      </c>
      <c r="B222" s="7" t="s">
        <v>31</v>
      </c>
      <c r="C222" s="9">
        <v>2516000000000</v>
      </c>
      <c r="D222" s="9">
        <v>11417700000000</v>
      </c>
      <c r="E222" s="9">
        <v>16727500000000</v>
      </c>
      <c r="F222" s="9">
        <v>3200600000000</v>
      </c>
      <c r="G222" s="9">
        <v>3306200000000.0098</v>
      </c>
      <c r="H222" s="9">
        <v>2776700000000</v>
      </c>
      <c r="I222" s="9">
        <v>2264300000000</v>
      </c>
      <c r="J222" s="9">
        <v>1.0877311269019101</v>
      </c>
      <c r="K222" s="9">
        <v>1.1203305130869301</v>
      </c>
      <c r="L222" s="9">
        <v>1.04625543460495</v>
      </c>
      <c r="M222" s="9">
        <v>1.04355785619595</v>
      </c>
      <c r="N222" s="9">
        <v>1.1336245611170099</v>
      </c>
      <c r="O222" s="9">
        <v>1.0712867609386201</v>
      </c>
      <c r="P222" s="9">
        <v>1.07725329987074</v>
      </c>
      <c r="Q222" s="9">
        <v>1.0976354593840001</v>
      </c>
      <c r="R222" s="9">
        <v>144286666.66666701</v>
      </c>
      <c r="S222" s="9">
        <v>1787.4010204763599</v>
      </c>
      <c r="T222" s="2">
        <f t="shared" si="3"/>
        <v>0</v>
      </c>
      <c r="U222" s="25">
        <v>309.375</v>
      </c>
    </row>
    <row r="223" spans="1:21">
      <c r="A223" s="8" t="s">
        <v>248</v>
      </c>
      <c r="B223" s="7" t="s">
        <v>31</v>
      </c>
      <c r="C223" s="10">
        <v>2522300000000</v>
      </c>
      <c r="D223" s="10">
        <v>11556900000000</v>
      </c>
      <c r="E223" s="10">
        <v>16957600000000</v>
      </c>
      <c r="F223" s="10">
        <v>3246200000000</v>
      </c>
      <c r="G223" s="10">
        <v>3342700000000.0098</v>
      </c>
      <c r="H223" s="10">
        <v>2788800000000</v>
      </c>
      <c r="I223" s="10">
        <v>2324500000000</v>
      </c>
      <c r="J223" s="10">
        <v>1.09157146097369</v>
      </c>
      <c r="K223" s="10">
        <v>1.120673030566</v>
      </c>
      <c r="L223" s="10">
        <v>1.0522528363046999</v>
      </c>
      <c r="M223" s="10">
        <v>1.0479340397517101</v>
      </c>
      <c r="N223" s="10">
        <v>1.1356436046748399</v>
      </c>
      <c r="O223" s="10">
        <v>1.07588744726073</v>
      </c>
      <c r="P223" s="10">
        <v>1.0810540297837301</v>
      </c>
      <c r="Q223" s="10">
        <v>1.1073404161910601</v>
      </c>
      <c r="R223" s="10">
        <v>144204666.66666701</v>
      </c>
      <c r="S223" s="10">
        <v>1786.9438070195899</v>
      </c>
      <c r="T223" s="2">
        <f t="shared" si="3"/>
        <v>0</v>
      </c>
      <c r="U223" s="26">
        <v>310.7</v>
      </c>
    </row>
    <row r="224" spans="1:21">
      <c r="A224" s="8" t="s">
        <v>249</v>
      </c>
      <c r="B224" s="7" t="s">
        <v>31</v>
      </c>
      <c r="C224" s="9">
        <v>2538700000000</v>
      </c>
      <c r="D224" s="9">
        <v>11640300000000</v>
      </c>
      <c r="E224" s="9">
        <v>16984300000000</v>
      </c>
      <c r="F224" s="9">
        <v>3291800000000.0098</v>
      </c>
      <c r="G224" s="9">
        <v>3334600000000.0098</v>
      </c>
      <c r="H224" s="9">
        <v>2830799999999.9902</v>
      </c>
      <c r="I224" s="9">
        <v>2301500000000.0098</v>
      </c>
      <c r="J224" s="9">
        <v>1.09722010769092</v>
      </c>
      <c r="K224" s="9">
        <v>1.12890567518517</v>
      </c>
      <c r="L224" s="9">
        <v>1.05818438986756</v>
      </c>
      <c r="M224" s="9">
        <v>1.0545190057554901</v>
      </c>
      <c r="N224" s="9">
        <v>1.1448214502365801</v>
      </c>
      <c r="O224" s="9">
        <v>1.08008953952013</v>
      </c>
      <c r="P224" s="9">
        <v>1.0853730174270599</v>
      </c>
      <c r="Q224" s="9">
        <v>1.1093777311658799</v>
      </c>
      <c r="R224" s="9">
        <v>145434333.33333299</v>
      </c>
      <c r="S224" s="9">
        <v>1787.48582736811</v>
      </c>
      <c r="T224" s="2">
        <f t="shared" si="3"/>
        <v>-2.9296875E-2</v>
      </c>
      <c r="U224" s="25">
        <v>310.77499999999998</v>
      </c>
    </row>
    <row r="225" spans="1:21">
      <c r="A225" s="8" t="s">
        <v>250</v>
      </c>
      <c r="B225" s="7" t="s">
        <v>31</v>
      </c>
      <c r="C225" s="10">
        <v>2549100000000</v>
      </c>
      <c r="D225" s="10">
        <v>11813000000000.1</v>
      </c>
      <c r="E225" s="10">
        <v>17270000000000</v>
      </c>
      <c r="F225" s="10">
        <v>3349900000000.02</v>
      </c>
      <c r="G225" s="10">
        <v>3438700000000</v>
      </c>
      <c r="H225" s="10">
        <v>2887000000000</v>
      </c>
      <c r="I225" s="10">
        <v>2356200000000</v>
      </c>
      <c r="J225" s="10">
        <v>1.1038443732581</v>
      </c>
      <c r="K225" s="10">
        <v>1.12909718228867</v>
      </c>
      <c r="L225" s="10">
        <v>1.06120315519372</v>
      </c>
      <c r="M225" s="10">
        <v>1.05754090294009</v>
      </c>
      <c r="N225" s="10">
        <v>1.1410616181178601</v>
      </c>
      <c r="O225" s="10">
        <v>1.0860610634216901</v>
      </c>
      <c r="P225" s="10">
        <v>1.0911391703536799</v>
      </c>
      <c r="Q225" s="10">
        <v>1.1150918635170599</v>
      </c>
      <c r="R225" s="10">
        <v>145946333.33333299</v>
      </c>
      <c r="S225" s="10">
        <v>1788.46785029077</v>
      </c>
      <c r="T225" s="2">
        <f t="shared" si="3"/>
        <v>-0.1015625</v>
      </c>
      <c r="U225" s="26">
        <v>319.77499999999998</v>
      </c>
    </row>
    <row r="226" spans="1:21">
      <c r="A226" s="8" t="s">
        <v>251</v>
      </c>
      <c r="B226" s="7" t="s">
        <v>31</v>
      </c>
      <c r="C226" s="9">
        <v>2578700000000</v>
      </c>
      <c r="D226" s="9">
        <v>11949100000000</v>
      </c>
      <c r="E226" s="9">
        <v>17522100000000</v>
      </c>
      <c r="F226" s="9">
        <v>3420499999999.9902</v>
      </c>
      <c r="G226" s="9">
        <v>3508899999999.9902</v>
      </c>
      <c r="H226" s="9">
        <v>2875200000000</v>
      </c>
      <c r="I226" s="9">
        <v>2360600000000.0098</v>
      </c>
      <c r="J226" s="9">
        <v>1.10709591824687</v>
      </c>
      <c r="K226" s="9">
        <v>1.1262404580152701</v>
      </c>
      <c r="L226" s="9">
        <v>1.06707221962252</v>
      </c>
      <c r="M226" s="9">
        <v>1.06365758283064</v>
      </c>
      <c r="N226" s="9">
        <v>1.1386479743376501</v>
      </c>
      <c r="O226" s="9">
        <v>1.09044234790401</v>
      </c>
      <c r="P226" s="9">
        <v>1.0943802318978599</v>
      </c>
      <c r="Q226" s="9">
        <v>1.1214176994998899</v>
      </c>
      <c r="R226" s="9">
        <v>146486333.33333299</v>
      </c>
      <c r="S226" s="9">
        <v>1789.6348530023399</v>
      </c>
      <c r="T226" s="2">
        <f t="shared" si="3"/>
        <v>0</v>
      </c>
      <c r="U226" s="25">
        <v>323.77499999999998</v>
      </c>
    </row>
    <row r="227" spans="1:21">
      <c r="A227" s="8" t="s">
        <v>252</v>
      </c>
      <c r="B227" s="7" t="s">
        <v>31</v>
      </c>
      <c r="C227" s="10">
        <v>2558499999999.9902</v>
      </c>
      <c r="D227" s="10">
        <v>12061400000000</v>
      </c>
      <c r="E227" s="10">
        <v>17615900000000</v>
      </c>
      <c r="F227" s="10">
        <v>3452600000000</v>
      </c>
      <c r="G227" s="10">
        <v>3541099999999.9902</v>
      </c>
      <c r="H227" s="10">
        <v>2894599999999.9902</v>
      </c>
      <c r="I227" s="10">
        <v>2349500000000</v>
      </c>
      <c r="J227" s="10">
        <v>1.1047236730496199</v>
      </c>
      <c r="K227" s="10">
        <v>1.10621969019257</v>
      </c>
      <c r="L227" s="10">
        <v>1.0704408755503201</v>
      </c>
      <c r="M227" s="10">
        <v>1.0675610491407901</v>
      </c>
      <c r="N227" s="10">
        <v>1.1186859903381601</v>
      </c>
      <c r="O227" s="10">
        <v>1.0906732543308899</v>
      </c>
      <c r="P227" s="10">
        <v>1.09318155039743</v>
      </c>
      <c r="Q227" s="10">
        <v>1.1193017761833901</v>
      </c>
      <c r="R227" s="10">
        <v>147344333.33333299</v>
      </c>
      <c r="S227" s="10">
        <v>1790.4114693387801</v>
      </c>
      <c r="T227" s="2">
        <f t="shared" si="3"/>
        <v>0</v>
      </c>
      <c r="U227" s="26">
        <v>325.875</v>
      </c>
    </row>
    <row r="228" spans="1:21">
      <c r="A228" s="11" t="s">
        <v>253</v>
      </c>
    </row>
    <row r="230" spans="1:21">
      <c r="U230" s="23"/>
    </row>
    <row r="231" spans="1:21">
      <c r="U231" s="23"/>
    </row>
    <row r="232" spans="1:21">
      <c r="U232" s="23"/>
    </row>
  </sheetData>
  <mergeCells count="7">
    <mergeCell ref="A6:B6"/>
    <mergeCell ref="V5:W5"/>
    <mergeCell ref="A3:B3"/>
    <mergeCell ref="C3:S3"/>
    <mergeCell ref="A4:B4"/>
    <mergeCell ref="C4:S4"/>
    <mergeCell ref="A5:B5"/>
  </mergeCells>
  <phoneticPr fontId="2" type="noConversion"/>
  <hyperlinks>
    <hyperlink ref="A2" r:id="rId1" tooltip="Click once to display linked information. Click and hold to select this cell." display="http://stats.oecd.org/OECDStat_Metadata/ShowMetadata.ashx?Dataset=EO98_INTERNET&amp;ShowOnWeb=true&amp;Lang=en" xr:uid="{A2FABC16-398F-ED40-A50A-EC33FD5B3C6A}"/>
    <hyperlink ref="C7" r:id="rId2" tooltip="Click once to display linked information. Click and hold to select this cell." display="http://stats.oecd.org/OECDStat_Metadata/ShowMetadata.ashx?Dataset=EO98_INTERNET&amp;Coords=[FREQUENCY].[Q],[LOCATION].[USA],[VARIABLE].[CG]&amp;ShowOnWeb=true" xr:uid="{64922AE6-B9BF-544B-9DB9-6A22E20398B3}"/>
    <hyperlink ref="D7" r:id="rId3" tooltip="Click once to display linked information. Click and hold to select this cell." display="http://stats.oecd.org/OECDStat_Metadata/ShowMetadata.ashx?Dataset=EO98_INTERNET&amp;Coords=[FREQUENCY].[Q],[LOCATION].[USA],[VARIABLE].[CP]&amp;ShowOnWeb=true" xr:uid="{D8957796-231B-8E44-AD90-9C5D26CFE99D}"/>
    <hyperlink ref="E7" r:id="rId4" tooltip="Click once to display linked information. Click and hold to select this cell." display="http://stats.oecd.org/OECDStat_Metadata/ShowMetadata.ashx?Dataset=EO98_INTERNET&amp;Coords=[FREQUENCY].[Q],[LOCATION].[USA],[VARIABLE].[GDP]&amp;ShowOnWeb=true" xr:uid="{0DF8811E-FF3F-704C-8608-7473ED0A2195}"/>
    <hyperlink ref="F7" r:id="rId5" tooltip="Click once to display linked information. Click and hold to select this cell." display="http://stats.oecd.org/OECDStat_Metadata/ShowMetadata.ashx?Dataset=EO98_INTERNET&amp;Coords=[FREQUENCY].[Q],[LOCATION].[USA],[VARIABLE].[IT]&amp;ShowOnWeb=true" xr:uid="{E564D7A9-A568-2D47-AA3A-3D441D0FF2CD}"/>
    <hyperlink ref="G7" r:id="rId6" tooltip="Click once to display linked information. Click and hold to select this cell." display="http://stats.oecd.org/OECDStat_Metadata/ShowMetadata.ashx?Dataset=EO98_INTERNET&amp;Coords=[FREQUENCY].[Q],[LOCATION].[USA],[VARIABLE].[ITISK]&amp;ShowOnWeb=true" xr:uid="{BE40F848-2A65-274F-8B73-BD4EA482DADF}"/>
    <hyperlink ref="H7" r:id="rId7" tooltip="Click once to display linked information. Click and hold to select this cell." display="http://stats.oecd.org/OECDStat_Metadata/ShowMetadata.ashx?Dataset=EO98_INTERNET&amp;Coords=[FREQUENCY].[Q],[LOCATION].[USA],[VARIABLE].[MGS]&amp;ShowOnWeb=true" xr:uid="{906D58BE-8A66-2545-8944-183A1F9D8515}"/>
    <hyperlink ref="I7" r:id="rId8" tooltip="Click once to display linked information. Click and hold to select this cell." display="http://stats.oecd.org/OECDStat_Metadata/ShowMetadata.ashx?Dataset=EO98_INTERNET&amp;Coords=[FREQUENCY].[Q],[LOCATION].[USA],[VARIABLE].[XGS]&amp;ShowOnWeb=true" xr:uid="{A96D43D3-7C99-0D4F-82C5-1E1BA538F095}"/>
    <hyperlink ref="J7" r:id="rId9" tooltip="Click once to display linked information. Click and hold to select this cell." display="http://stats.oecd.org/OECDStat_Metadata/ShowMetadata.ashx?Dataset=EO98_INTERNET&amp;Coords=[FREQUENCY].[Q],[LOCATION].[USA],[VARIABLE].[CPI]&amp;ShowOnWeb=true" xr:uid="{B6B16055-D502-BE48-BFC9-64F3C357B57D}"/>
    <hyperlink ref="K7" r:id="rId10" tooltip="Click once to display linked information. Click and hold to select this cell." display="http://stats.oecd.org/OECDStat_Metadata/ShowMetadata.ashx?Dataset=EO98_INTERNET&amp;Coords=[FREQUENCY].[Q],[LOCATION].[USA],[VARIABLE].[PXGS]&amp;ShowOnWeb=true" xr:uid="{AF5972D7-0733-5249-9753-E5C5B5A90B7F}"/>
    <hyperlink ref="L7" r:id="rId11" tooltip="Click once to display linked information. Click and hold to select this cell." display="http://stats.oecd.org/OECDStat_Metadata/ShowMetadata.ashx?Dataset=EO98_INTERNET&amp;Coords=[FREQUENCY].[Q],[LOCATION].[USA],[VARIABLE].[PIT]&amp;ShowOnWeb=true" xr:uid="{CCA9D25D-BB5B-BF45-8EA3-A574E7A482B7}"/>
    <hyperlink ref="M7" r:id="rId12" tooltip="Click once to display linked information. Click and hold to select this cell." display="http://stats.oecd.org/OECDStat_Metadata/ShowMetadata.ashx?Dataset=EO98_INTERNET&amp;Coords=[FREQUENCY].[Q],[LOCATION].[USA],[VARIABLE].[PITISK]&amp;ShowOnWeb=true" xr:uid="{AD404A4F-9AEB-F449-B287-6AD96CE5CBEB}"/>
    <hyperlink ref="N7" r:id="rId13" tooltip="Click once to display linked information. Click and hold to select this cell." display="http://stats.oecd.org/OECDStat_Metadata/ShowMetadata.ashx?Dataset=EO98_INTERNET&amp;Coords=[FREQUENCY].[Q],[LOCATION].[USA],[VARIABLE].[PMGS]&amp;ShowOnWeb=true" xr:uid="{164624CF-5621-114A-996A-D44218031F17}"/>
    <hyperlink ref="O7" r:id="rId14" tooltip="Click once to display linked information. Click and hold to select this cell." display="http://stats.oecd.org/OECDStat_Metadata/ShowMetadata.ashx?Dataset=EO98_INTERNET&amp;Coords=[FREQUENCY].[Q],[LOCATION].[USA],[VARIABLE].[PGDP]&amp;ShowOnWeb=true" xr:uid="{942BDA67-814F-A044-BA1C-E6DBD0FFF55F}"/>
    <hyperlink ref="P7" r:id="rId15" tooltip="Click once to display linked information. Click and hold to select this cell." display="http://stats.oecd.org/OECDStat_Metadata/ShowMetadata.ashx?Dataset=EO98_INTERNET&amp;Coords=[FREQUENCY].[Q],[LOCATION].[USA],[VARIABLE].[PCP]&amp;ShowOnWeb=true" xr:uid="{250DA656-714F-FC44-A14D-28959FF7FB08}"/>
    <hyperlink ref="Q7" r:id="rId16" tooltip="Click once to display linked information. Click and hold to select this cell." display="http://stats.oecd.org/OECDStat_Metadata/ShowMetadata.ashx?Dataset=EO98_INTERNET&amp;Coords=[FREQUENCY].[Q],[LOCATION].[USA],[VARIABLE].[PCG]&amp;ShowOnWeb=true" xr:uid="{1A633F51-E61F-CF44-B272-0047487FE9E4}"/>
    <hyperlink ref="R7" r:id="rId17" tooltip="Click once to display linked information. Click and hold to select this cell." display="http://stats.oecd.org/OECDStat_Metadata/ShowMetadata.ashx?Dataset=EO98_INTERNET&amp;Coords=[FREQUENCY].[Q],[LOCATION].[USA],[VARIABLE].[ET]&amp;ShowOnWeb=true" xr:uid="{63580F31-F35B-4B4C-8986-6EE3BC573306}"/>
    <hyperlink ref="S7" r:id="rId18" tooltip="Click once to display linked information. Click and hold to select this cell." display="http://stats.oecd.org/OECDStat_Metadata/ShowMetadata.ashx?Dataset=EO98_INTERNET&amp;Coords=[FREQUENCY].[Q],[LOCATION].[USA],[VARIABLE].[HRS]&amp;ShowOnWeb=true" xr:uid="{3CDBED22-E3A1-FF45-B189-1C30D0EAAAF6}"/>
    <hyperlink ref="A228" r:id="rId19" tooltip="Click once to display linked information. Click and hold to select this cell." display="http://stats.oecd.org/" xr:uid="{D6730E07-55F5-4245-8731-6BB7C525CD37}"/>
    <hyperlink ref="V5" r:id="rId20" tooltip="Click once to display linked information. Click and hold to select this cell." display="http://localhost/OECDStat_Metadata/ShowMetadata.ashx?Dataset=ALFS_POP_LABOUR&amp;Coords=%5bLOCATION%5d.%5bUSA%5d&amp;ShowOnWeb=true&amp;Lang=en" xr:uid="{1ADBD188-8384-9340-92EF-2A281927EC2D}"/>
    <hyperlink ref="V8" r:id="rId21" tooltip="Click once to display linked information. Click and hold to select this cell." display="http://localhost/OECDStat_Metadata/ShowMetadata.ashx?Dataset=ALFS_POP_LABOUR&amp;Coords=%5bSEX%5d.%5bTT%5d,%5bFREQUENCY%5d.%5bA%5d,%5bSUBJECT%5d.%5bYP99TTL1_ST%5d,%5bLOCATION%5d.%5bUSA%5d&amp;ShowOnWeb=true" xr:uid="{98F0805D-0217-DA4B-8EA4-B4A6FB2A2947}"/>
    <hyperlink ref="W8" r:id="rId22" tooltip="Click once to display linked information. Click and hold to select this cell." display="http://localhost/OECDStat_Metadata/ShowMetadata.ashx?Dataset=ALFS_POP_LABOUR&amp;Coords=[SEX].[TT],[FREQUENCY].[A],[SUBJECT].[YP99P2L1_ST],[LOCATION].[USA]&amp;ShowOnWeb=true" xr:uid="{B27263A9-FAD4-7B42-9A47-FC72E32DA5EE}"/>
    <hyperlink ref="U7" r:id="rId23" tooltip="Click once to display linked information. Click and hold to select this cell." display="http://stats.oecd.org/OECDStat_Metadata/ShowMetadata.ashx?Dataset=EO98_INTERNET&amp;Coords=[FREQUENCY].[Q],[LOCATION].[USA],[VARIABLE].[HRS]&amp;ShowOnWeb=true" xr:uid="{61012588-1088-BA4E-B1C2-8D26236F01C4}"/>
  </hyperlinks>
  <pageMargins left="0.7" right="0.7" top="0.75" bottom="0.75" header="0.3" footer="0.3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9C00-5697-6A4F-90CF-164F5A00884B}">
  <dimension ref="A1:G36"/>
  <sheetViews>
    <sheetView workbookViewId="0">
      <selection activeCell="G2" sqref="G2"/>
    </sheetView>
  </sheetViews>
  <sheetFormatPr baseColWidth="10" defaultRowHeight="16"/>
  <sheetData>
    <row r="1" spans="1:7" s="2" customFormat="1">
      <c r="A1" s="2" t="s">
        <v>339</v>
      </c>
      <c r="F1" s="2" t="s">
        <v>340</v>
      </c>
      <c r="G1" s="2" t="s">
        <v>341</v>
      </c>
    </row>
    <row r="2" spans="1:7" s="2" customFormat="1">
      <c r="A2" s="2" t="s">
        <v>334</v>
      </c>
      <c r="B2" s="2" t="s">
        <v>335</v>
      </c>
      <c r="C2" s="2" t="s">
        <v>336</v>
      </c>
      <c r="D2" s="2" t="s">
        <v>337</v>
      </c>
      <c r="E2" s="2" t="s">
        <v>338</v>
      </c>
      <c r="F2" s="2">
        <v>1980</v>
      </c>
      <c r="G2" s="2">
        <v>4.5010000000000003</v>
      </c>
    </row>
    <row r="3" spans="1:7" s="2" customFormat="1">
      <c r="A3" s="2" t="s">
        <v>334</v>
      </c>
      <c r="B3" s="2" t="s">
        <v>335</v>
      </c>
      <c r="C3" s="2" t="s">
        <v>336</v>
      </c>
      <c r="D3" s="2" t="s">
        <v>337</v>
      </c>
      <c r="E3" s="2" t="s">
        <v>338</v>
      </c>
      <c r="F3" s="2">
        <v>1981</v>
      </c>
      <c r="G3" s="2">
        <v>4.8380000000000001</v>
      </c>
    </row>
    <row r="4" spans="1:7" s="2" customFormat="1">
      <c r="A4" s="2" t="s">
        <v>334</v>
      </c>
      <c r="B4" s="2" t="s">
        <v>335</v>
      </c>
      <c r="C4" s="2" t="s">
        <v>336</v>
      </c>
      <c r="D4" s="2" t="s">
        <v>337</v>
      </c>
      <c r="E4" s="2" t="s">
        <v>338</v>
      </c>
      <c r="F4" s="2">
        <v>1982</v>
      </c>
      <c r="G4" s="2">
        <v>4.8170000000000002</v>
      </c>
    </row>
    <row r="5" spans="1:7" s="2" customFormat="1">
      <c r="A5" s="2" t="s">
        <v>334</v>
      </c>
      <c r="B5" s="2" t="s">
        <v>335</v>
      </c>
      <c r="C5" s="2" t="s">
        <v>336</v>
      </c>
      <c r="D5" s="2" t="s">
        <v>337</v>
      </c>
      <c r="E5" s="2" t="s">
        <v>338</v>
      </c>
      <c r="F5" s="2">
        <v>1983</v>
      </c>
      <c r="G5" s="2">
        <v>4.5940000000000003</v>
      </c>
    </row>
    <row r="6" spans="1:7" s="2" customFormat="1">
      <c r="A6" s="2" t="s">
        <v>334</v>
      </c>
      <c r="B6" s="2" t="s">
        <v>335</v>
      </c>
      <c r="C6" s="2" t="s">
        <v>336</v>
      </c>
      <c r="D6" s="2" t="s">
        <v>337</v>
      </c>
      <c r="E6" s="2" t="s">
        <v>338</v>
      </c>
      <c r="F6" s="2">
        <v>1984</v>
      </c>
      <c r="G6" s="2">
        <v>4.6479999999999997</v>
      </c>
    </row>
    <row r="7" spans="1:7" s="2" customFormat="1">
      <c r="A7" s="2" t="s">
        <v>334</v>
      </c>
      <c r="B7" s="2" t="s">
        <v>335</v>
      </c>
      <c r="C7" s="2" t="s">
        <v>336</v>
      </c>
      <c r="D7" s="2" t="s">
        <v>337</v>
      </c>
      <c r="E7" s="2" t="s">
        <v>338</v>
      </c>
      <c r="F7" s="2">
        <v>1985</v>
      </c>
      <c r="G7" s="2">
        <v>4.6310000000000002</v>
      </c>
    </row>
    <row r="8" spans="1:7" s="2" customFormat="1">
      <c r="A8" s="2" t="s">
        <v>334</v>
      </c>
      <c r="B8" s="2" t="s">
        <v>335</v>
      </c>
      <c r="C8" s="2" t="s">
        <v>336</v>
      </c>
      <c r="D8" s="2" t="s">
        <v>337</v>
      </c>
      <c r="E8" s="2" t="s">
        <v>338</v>
      </c>
      <c r="F8" s="2">
        <v>1986</v>
      </c>
      <c r="G8" s="2">
        <v>4.556</v>
      </c>
    </row>
    <row r="9" spans="1:7" s="2" customFormat="1">
      <c r="A9" s="2" t="s">
        <v>334</v>
      </c>
      <c r="B9" s="2" t="s">
        <v>335</v>
      </c>
      <c r="C9" s="2" t="s">
        <v>336</v>
      </c>
      <c r="D9" s="2" t="s">
        <v>337</v>
      </c>
      <c r="E9" s="2" t="s">
        <v>338</v>
      </c>
      <c r="F9" s="2">
        <v>1987</v>
      </c>
      <c r="G9" s="2">
        <v>4.5090000000000003</v>
      </c>
    </row>
    <row r="10" spans="1:7" s="2" customFormat="1">
      <c r="A10" s="2" t="s">
        <v>334</v>
      </c>
      <c r="B10" s="2" t="s">
        <v>335</v>
      </c>
      <c r="C10" s="2" t="s">
        <v>336</v>
      </c>
      <c r="D10" s="2" t="s">
        <v>337</v>
      </c>
      <c r="E10" s="2" t="s">
        <v>338</v>
      </c>
      <c r="F10" s="2">
        <v>1988</v>
      </c>
      <c r="G10" s="2">
        <v>4.5250000000000004</v>
      </c>
    </row>
    <row r="11" spans="1:7" s="2" customFormat="1">
      <c r="A11" s="2" t="s">
        <v>334</v>
      </c>
      <c r="B11" s="2" t="s">
        <v>335</v>
      </c>
      <c r="C11" s="2" t="s">
        <v>336</v>
      </c>
      <c r="D11" s="2" t="s">
        <v>337</v>
      </c>
      <c r="E11" s="2" t="s">
        <v>338</v>
      </c>
      <c r="F11" s="2">
        <v>1989</v>
      </c>
      <c r="G11" s="2">
        <v>4.367</v>
      </c>
    </row>
    <row r="12" spans="1:7" s="2" customFormat="1">
      <c r="A12" s="2" t="s">
        <v>334</v>
      </c>
      <c r="B12" s="2" t="s">
        <v>335</v>
      </c>
      <c r="C12" s="2" t="s">
        <v>336</v>
      </c>
      <c r="D12" s="2" t="s">
        <v>337</v>
      </c>
      <c r="E12" s="2" t="s">
        <v>338</v>
      </c>
      <c r="F12" s="2">
        <v>1990</v>
      </c>
      <c r="G12" s="2">
        <v>4.5730000000000004</v>
      </c>
    </row>
    <row r="13" spans="1:7" s="2" customFormat="1">
      <c r="A13" s="2" t="s">
        <v>334</v>
      </c>
      <c r="B13" s="2" t="s">
        <v>335</v>
      </c>
      <c r="C13" s="2" t="s">
        <v>336</v>
      </c>
      <c r="D13" s="2" t="s">
        <v>337</v>
      </c>
      <c r="E13" s="2" t="s">
        <v>338</v>
      </c>
      <c r="F13" s="2">
        <v>1991</v>
      </c>
      <c r="G13" s="2">
        <v>4.72</v>
      </c>
    </row>
    <row r="14" spans="1:7" s="2" customFormat="1">
      <c r="A14" s="2" t="s">
        <v>334</v>
      </c>
      <c r="B14" s="2" t="s">
        <v>335</v>
      </c>
      <c r="C14" s="2" t="s">
        <v>336</v>
      </c>
      <c r="D14" s="2" t="s">
        <v>337</v>
      </c>
      <c r="E14" s="2" t="s">
        <v>338</v>
      </c>
      <c r="F14" s="2">
        <v>1992</v>
      </c>
      <c r="G14" s="2">
        <v>4.74</v>
      </c>
    </row>
    <row r="15" spans="1:7" s="2" customFormat="1">
      <c r="A15" s="2" t="s">
        <v>334</v>
      </c>
      <c r="B15" s="2" t="s">
        <v>335</v>
      </c>
      <c r="C15" s="2" t="s">
        <v>336</v>
      </c>
      <c r="D15" s="2" t="s">
        <v>337</v>
      </c>
      <c r="E15" s="2" t="s">
        <v>338</v>
      </c>
      <c r="F15" s="2">
        <v>1993</v>
      </c>
      <c r="G15" s="2">
        <v>4.7549999999999999</v>
      </c>
    </row>
    <row r="16" spans="1:7" s="2" customFormat="1">
      <c r="A16" s="2" t="s">
        <v>334</v>
      </c>
      <c r="B16" s="2" t="s">
        <v>335</v>
      </c>
      <c r="C16" s="2" t="s">
        <v>336</v>
      </c>
      <c r="D16" s="2" t="s">
        <v>337</v>
      </c>
      <c r="E16" s="2" t="s">
        <v>338</v>
      </c>
      <c r="F16" s="2">
        <v>1994</v>
      </c>
      <c r="G16" s="2">
        <v>4.8920000000000003</v>
      </c>
    </row>
    <row r="17" spans="1:7" s="2" customFormat="1">
      <c r="A17" s="2" t="s">
        <v>334</v>
      </c>
      <c r="B17" s="2" t="s">
        <v>335</v>
      </c>
      <c r="C17" s="2" t="s">
        <v>336</v>
      </c>
      <c r="D17" s="2" t="s">
        <v>337</v>
      </c>
      <c r="E17" s="2" t="s">
        <v>338</v>
      </c>
      <c r="F17" s="2">
        <v>1995</v>
      </c>
      <c r="G17" s="2">
        <v>4.7960000000000003</v>
      </c>
    </row>
    <row r="18" spans="1:7" s="2" customFormat="1">
      <c r="A18" s="2" t="s">
        <v>334</v>
      </c>
      <c r="B18" s="2" t="s">
        <v>335</v>
      </c>
      <c r="C18" s="2" t="s">
        <v>336</v>
      </c>
      <c r="D18" s="2" t="s">
        <v>337</v>
      </c>
      <c r="E18" s="2" t="s">
        <v>338</v>
      </c>
      <c r="F18" s="2">
        <v>1996</v>
      </c>
      <c r="G18" s="2">
        <v>4.694</v>
      </c>
    </row>
    <row r="19" spans="1:7" s="2" customFormat="1">
      <c r="A19" s="2" t="s">
        <v>334</v>
      </c>
      <c r="B19" s="2" t="s">
        <v>335</v>
      </c>
      <c r="C19" s="2" t="s">
        <v>336</v>
      </c>
      <c r="D19" s="2" t="s">
        <v>337</v>
      </c>
      <c r="E19" s="2" t="s">
        <v>338</v>
      </c>
      <c r="F19" s="2">
        <v>1997</v>
      </c>
      <c r="G19" s="2">
        <v>4.6559999999999997</v>
      </c>
    </row>
    <row r="20" spans="1:7" s="2" customFormat="1">
      <c r="A20" s="2" t="s">
        <v>334</v>
      </c>
      <c r="B20" s="2" t="s">
        <v>335</v>
      </c>
      <c r="C20" s="2" t="s">
        <v>336</v>
      </c>
      <c r="D20" s="2" t="s">
        <v>337</v>
      </c>
      <c r="E20" s="2" t="s">
        <v>338</v>
      </c>
      <c r="F20" s="2">
        <v>1998</v>
      </c>
      <c r="G20" s="2">
        <v>4.641</v>
      </c>
    </row>
    <row r="21" spans="1:7" s="2" customFormat="1">
      <c r="A21" s="2" t="s">
        <v>334</v>
      </c>
      <c r="B21" s="2" t="s">
        <v>335</v>
      </c>
      <c r="C21" s="2" t="s">
        <v>336</v>
      </c>
      <c r="D21" s="2" t="s">
        <v>337</v>
      </c>
      <c r="E21" s="2" t="s">
        <v>338</v>
      </c>
      <c r="F21" s="2">
        <v>1999</v>
      </c>
      <c r="G21" s="2">
        <v>4.6020000000000003</v>
      </c>
    </row>
    <row r="22" spans="1:7" s="2" customFormat="1">
      <c r="A22" s="2" t="s">
        <v>334</v>
      </c>
      <c r="B22" s="2" t="s">
        <v>335</v>
      </c>
      <c r="C22" s="2" t="s">
        <v>336</v>
      </c>
      <c r="D22" s="2" t="s">
        <v>337</v>
      </c>
      <c r="E22" s="2" t="s">
        <v>338</v>
      </c>
      <c r="F22" s="2">
        <v>2000</v>
      </c>
      <c r="G22" s="2">
        <v>4.5540000000000003</v>
      </c>
    </row>
    <row r="23" spans="1:7" s="2" customFormat="1">
      <c r="A23" s="2" t="s">
        <v>334</v>
      </c>
      <c r="B23" s="2" t="s">
        <v>335</v>
      </c>
      <c r="C23" s="2" t="s">
        <v>336</v>
      </c>
      <c r="D23" s="2" t="s">
        <v>337</v>
      </c>
      <c r="E23" s="2" t="s">
        <v>338</v>
      </c>
      <c r="F23" s="2">
        <v>2001</v>
      </c>
      <c r="G23" s="2">
        <v>4.4649999999999999</v>
      </c>
    </row>
    <row r="24" spans="1:7" s="2" customFormat="1">
      <c r="A24" s="2" t="s">
        <v>334</v>
      </c>
      <c r="B24" s="2" t="s">
        <v>335</v>
      </c>
      <c r="C24" s="2" t="s">
        <v>336</v>
      </c>
      <c r="D24" s="2" t="s">
        <v>337</v>
      </c>
      <c r="E24" s="2" t="s">
        <v>338</v>
      </c>
      <c r="F24" s="2">
        <v>2002</v>
      </c>
      <c r="G24" s="2">
        <v>4.452</v>
      </c>
    </row>
    <row r="25" spans="1:7" s="2" customFormat="1">
      <c r="A25" s="2" t="s">
        <v>334</v>
      </c>
      <c r="B25" s="2" t="s">
        <v>335</v>
      </c>
      <c r="C25" s="2" t="s">
        <v>336</v>
      </c>
      <c r="D25" s="2" t="s">
        <v>337</v>
      </c>
      <c r="E25" s="2" t="s">
        <v>338</v>
      </c>
      <c r="F25" s="2">
        <v>2003</v>
      </c>
      <c r="G25" s="2">
        <v>4.4950000000000001</v>
      </c>
    </row>
    <row r="26" spans="1:7" s="2" customFormat="1">
      <c r="A26" s="2" t="s">
        <v>334</v>
      </c>
      <c r="B26" s="2" t="s">
        <v>335</v>
      </c>
      <c r="C26" s="2" t="s">
        <v>336</v>
      </c>
      <c r="D26" s="2" t="s">
        <v>337</v>
      </c>
      <c r="E26" s="2" t="s">
        <v>338</v>
      </c>
      <c r="F26" s="2">
        <v>2004</v>
      </c>
      <c r="G26" s="2">
        <v>4.5259999999999998</v>
      </c>
    </row>
    <row r="27" spans="1:7" s="2" customFormat="1">
      <c r="A27" s="2" t="s">
        <v>334</v>
      </c>
      <c r="B27" s="2" t="s">
        <v>335</v>
      </c>
      <c r="C27" s="2" t="s">
        <v>336</v>
      </c>
      <c r="D27" s="2" t="s">
        <v>337</v>
      </c>
      <c r="E27" s="2" t="s">
        <v>338</v>
      </c>
      <c r="F27" s="2">
        <v>2005</v>
      </c>
      <c r="G27" s="2">
        <v>4.5940000000000003</v>
      </c>
    </row>
    <row r="28" spans="1:7" s="2" customFormat="1">
      <c r="A28" s="2" t="s">
        <v>334</v>
      </c>
      <c r="B28" s="2" t="s">
        <v>335</v>
      </c>
      <c r="C28" s="2" t="s">
        <v>336</v>
      </c>
      <c r="D28" s="2" t="s">
        <v>337</v>
      </c>
      <c r="E28" s="2" t="s">
        <v>338</v>
      </c>
      <c r="F28" s="2">
        <v>2006</v>
      </c>
      <c r="G28" s="2">
        <v>4.59</v>
      </c>
    </row>
    <row r="29" spans="1:7" s="2" customFormat="1">
      <c r="A29" s="2" t="s">
        <v>334</v>
      </c>
      <c r="B29" s="2" t="s">
        <v>335</v>
      </c>
      <c r="C29" s="2" t="s">
        <v>336</v>
      </c>
      <c r="D29" s="2" t="s">
        <v>337</v>
      </c>
      <c r="E29" s="2" t="s">
        <v>338</v>
      </c>
      <c r="F29" s="2">
        <v>2007</v>
      </c>
      <c r="G29" s="2">
        <v>4.4909999999999997</v>
      </c>
    </row>
    <row r="30" spans="1:7" s="2" customFormat="1">
      <c r="A30" s="2" t="s">
        <v>334</v>
      </c>
      <c r="B30" s="2" t="s">
        <v>335</v>
      </c>
      <c r="C30" s="2" t="s">
        <v>336</v>
      </c>
      <c r="D30" s="2" t="s">
        <v>337</v>
      </c>
      <c r="E30" s="2" t="s">
        <v>338</v>
      </c>
      <c r="F30" s="2">
        <v>2008</v>
      </c>
      <c r="G30" s="2">
        <v>4.3959999999999999</v>
      </c>
    </row>
    <row r="31" spans="1:7" s="2" customFormat="1">
      <c r="A31" s="2" t="s">
        <v>334</v>
      </c>
      <c r="B31" s="2" t="s">
        <v>335</v>
      </c>
      <c r="C31" s="2" t="s">
        <v>336</v>
      </c>
      <c r="D31" s="2" t="s">
        <v>337</v>
      </c>
      <c r="E31" s="2" t="s">
        <v>338</v>
      </c>
      <c r="F31" s="2">
        <v>2009</v>
      </c>
      <c r="G31" s="2">
        <v>4.2389999999999999</v>
      </c>
    </row>
    <row r="32" spans="1:7" s="2" customFormat="1">
      <c r="A32" s="2" t="s">
        <v>334</v>
      </c>
      <c r="B32" s="2" t="s">
        <v>335</v>
      </c>
      <c r="C32" s="2" t="s">
        <v>336</v>
      </c>
      <c r="D32" s="2" t="s">
        <v>337</v>
      </c>
      <c r="E32" s="2" t="s">
        <v>338</v>
      </c>
      <c r="F32" s="2">
        <v>2010</v>
      </c>
      <c r="G32" s="2">
        <v>4.306</v>
      </c>
    </row>
    <row r="33" spans="1:7" s="2" customFormat="1">
      <c r="A33" s="2" t="s">
        <v>334</v>
      </c>
      <c r="B33" s="2" t="s">
        <v>335</v>
      </c>
      <c r="C33" s="2" t="s">
        <v>336</v>
      </c>
      <c r="D33" s="2" t="s">
        <v>337</v>
      </c>
      <c r="E33" s="2" t="s">
        <v>338</v>
      </c>
      <c r="F33" s="2">
        <v>2011</v>
      </c>
      <c r="G33" s="2">
        <v>4.4249999999999998</v>
      </c>
    </row>
    <row r="34" spans="1:7" s="2" customFormat="1">
      <c r="A34" s="2" t="s">
        <v>334</v>
      </c>
      <c r="B34" s="2" t="s">
        <v>335</v>
      </c>
      <c r="C34" s="2" t="s">
        <v>336</v>
      </c>
      <c r="D34" s="2" t="s">
        <v>337</v>
      </c>
      <c r="E34" s="2" t="s">
        <v>338</v>
      </c>
      <c r="F34" s="2">
        <v>2012</v>
      </c>
      <c r="G34" s="2">
        <v>4.4059999999999997</v>
      </c>
    </row>
    <row r="35" spans="1:7" s="2" customFormat="1">
      <c r="A35" s="2" t="s">
        <v>334</v>
      </c>
      <c r="B35" s="2" t="s">
        <v>335</v>
      </c>
      <c r="C35" s="2" t="s">
        <v>336</v>
      </c>
      <c r="D35" s="2" t="s">
        <v>337</v>
      </c>
      <c r="E35" s="2" t="s">
        <v>338</v>
      </c>
      <c r="F35" s="2">
        <v>2013</v>
      </c>
      <c r="G35" s="2">
        <v>4.415</v>
      </c>
    </row>
    <row r="36" spans="1:7">
      <c r="A36" s="2" t="s">
        <v>334</v>
      </c>
      <c r="B36" s="2" t="s">
        <v>335</v>
      </c>
      <c r="C36" s="2" t="s">
        <v>336</v>
      </c>
      <c r="D36" s="2" t="s">
        <v>337</v>
      </c>
      <c r="E36" s="2" t="s">
        <v>338</v>
      </c>
      <c r="F36" s="2">
        <v>2014</v>
      </c>
      <c r="G36" s="2">
        <v>4.4589999999999996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2BFB-4CC3-564C-8AF1-29AB70CB0536}">
  <dimension ref="A1:D76"/>
  <sheetViews>
    <sheetView topLeftCell="A2" workbookViewId="0">
      <selection activeCell="C7" sqref="C7"/>
    </sheetView>
  </sheetViews>
  <sheetFormatPr baseColWidth="10" defaultColWidth="8.83203125" defaultRowHeight="16"/>
  <cols>
    <col min="1" max="1" width="27.5" style="2" customWidth="1"/>
    <col min="2" max="2" width="2.5" style="2" customWidth="1"/>
    <col min="3" max="16384" width="8.83203125" style="2"/>
  </cols>
  <sheetData>
    <row r="1" spans="1:4" hidden="1">
      <c r="A1" s="1" t="e">
        <f ca="1">DotStatQuery(B1)</f>
        <v>#NAME?</v>
      </c>
      <c r="B1" s="1" t="s">
        <v>254</v>
      </c>
    </row>
    <row r="2" spans="1:4" ht="23.25" customHeight="1">
      <c r="A2" s="3" t="s">
        <v>255</v>
      </c>
    </row>
    <row r="3" spans="1:4">
      <c r="A3" s="14" t="s">
        <v>256</v>
      </c>
      <c r="B3" s="15"/>
      <c r="C3" s="17" t="s">
        <v>330</v>
      </c>
      <c r="D3" s="18"/>
    </row>
    <row r="4" spans="1:4">
      <c r="A4" s="14" t="s">
        <v>2</v>
      </c>
      <c r="B4" s="15"/>
      <c r="C4" s="17" t="s">
        <v>331</v>
      </c>
      <c r="D4" s="18"/>
    </row>
    <row r="5" spans="1:4">
      <c r="A5" s="19" t="s">
        <v>4</v>
      </c>
      <c r="B5" s="20"/>
      <c r="C5" s="21" t="s">
        <v>5</v>
      </c>
      <c r="D5" s="22"/>
    </row>
    <row r="6" spans="1:4" ht="21" customHeight="1">
      <c r="A6" s="19" t="s">
        <v>257</v>
      </c>
      <c r="B6" s="20"/>
      <c r="C6" s="4" t="s">
        <v>258</v>
      </c>
      <c r="D6" s="4" t="s">
        <v>259</v>
      </c>
    </row>
    <row r="7" spans="1:4" ht="31.5" customHeight="1">
      <c r="A7" s="19" t="s">
        <v>24</v>
      </c>
      <c r="B7" s="20"/>
      <c r="C7" s="4" t="s">
        <v>260</v>
      </c>
      <c r="D7" s="4" t="s">
        <v>260</v>
      </c>
    </row>
    <row r="8" spans="1:4" ht="13.5" customHeight="1">
      <c r="A8" s="6" t="s">
        <v>30</v>
      </c>
      <c r="B8" s="7" t="s">
        <v>31</v>
      </c>
      <c r="C8" s="7" t="s">
        <v>32</v>
      </c>
      <c r="D8" s="7" t="s">
        <v>32</v>
      </c>
    </row>
    <row r="9" spans="1:4" ht="13.5" customHeight="1">
      <c r="A9" s="8" t="s">
        <v>261</v>
      </c>
      <c r="B9" s="7" t="s">
        <v>31</v>
      </c>
      <c r="C9" s="9">
        <v>152271.4</v>
      </c>
      <c r="D9" s="9">
        <v>98877.09</v>
      </c>
    </row>
    <row r="10" spans="1:4" ht="13.5" customHeight="1">
      <c r="A10" s="8" t="s">
        <v>262</v>
      </c>
      <c r="B10" s="7" t="s">
        <v>31</v>
      </c>
      <c r="C10" s="10">
        <v>154877.9</v>
      </c>
      <c r="D10" s="10">
        <v>99574.27</v>
      </c>
    </row>
    <row r="11" spans="1:4" ht="13.5" customHeight="1">
      <c r="A11" s="8" t="s">
        <v>263</v>
      </c>
      <c r="B11" s="7" t="s">
        <v>31</v>
      </c>
      <c r="C11" s="9">
        <v>157552.70000000001</v>
      </c>
      <c r="D11" s="9">
        <v>100264</v>
      </c>
    </row>
    <row r="12" spans="1:4" ht="13.5" customHeight="1">
      <c r="A12" s="8" t="s">
        <v>264</v>
      </c>
      <c r="B12" s="7" t="s">
        <v>31</v>
      </c>
      <c r="C12" s="10">
        <v>160184.20000000001</v>
      </c>
      <c r="D12" s="10">
        <v>100925.4</v>
      </c>
    </row>
    <row r="13" spans="1:4" ht="13.5" customHeight="1">
      <c r="A13" s="8" t="s">
        <v>265</v>
      </c>
      <c r="B13" s="7" t="s">
        <v>31</v>
      </c>
      <c r="C13" s="9">
        <v>163025.9</v>
      </c>
      <c r="D13" s="9">
        <v>101670.2</v>
      </c>
    </row>
    <row r="14" spans="1:4" ht="13.5" customHeight="1">
      <c r="A14" s="8" t="s">
        <v>266</v>
      </c>
      <c r="B14" s="7" t="s">
        <v>31</v>
      </c>
      <c r="C14" s="10">
        <v>165931.20000000001</v>
      </c>
      <c r="D14" s="10">
        <v>102452.7</v>
      </c>
    </row>
    <row r="15" spans="1:4" ht="13.5" customHeight="1">
      <c r="A15" s="8" t="s">
        <v>267</v>
      </c>
      <c r="B15" s="7" t="s">
        <v>31</v>
      </c>
      <c r="C15" s="9">
        <v>168903</v>
      </c>
      <c r="D15" s="9">
        <v>103392.3</v>
      </c>
    </row>
    <row r="16" spans="1:4" ht="13.5" customHeight="1">
      <c r="A16" s="8" t="s">
        <v>268</v>
      </c>
      <c r="B16" s="7" t="s">
        <v>31</v>
      </c>
      <c r="C16" s="10">
        <v>171984.1</v>
      </c>
      <c r="D16" s="10">
        <v>104432.8</v>
      </c>
    </row>
    <row r="17" spans="1:4" ht="13.5" customHeight="1">
      <c r="A17" s="8" t="s">
        <v>269</v>
      </c>
      <c r="B17" s="7" t="s">
        <v>31</v>
      </c>
      <c r="C17" s="9">
        <v>174881.9</v>
      </c>
      <c r="D17" s="9">
        <v>105702.39999999999</v>
      </c>
    </row>
    <row r="18" spans="1:4" ht="13.5" customHeight="1">
      <c r="A18" s="8" t="s">
        <v>270</v>
      </c>
      <c r="B18" s="7" t="s">
        <v>31</v>
      </c>
      <c r="C18" s="10">
        <v>177829.6</v>
      </c>
      <c r="D18" s="10">
        <v>106842.5</v>
      </c>
    </row>
    <row r="19" spans="1:4" ht="13.5" customHeight="1">
      <c r="A19" s="8" t="s">
        <v>271</v>
      </c>
      <c r="B19" s="7" t="s">
        <v>31</v>
      </c>
      <c r="C19" s="9">
        <v>180671.2</v>
      </c>
      <c r="D19" s="9">
        <v>107919.4</v>
      </c>
    </row>
    <row r="20" spans="1:4" ht="13.5" customHeight="1">
      <c r="A20" s="8" t="s">
        <v>272</v>
      </c>
      <c r="B20" s="7" t="s">
        <v>31</v>
      </c>
      <c r="C20" s="10">
        <v>183691.5</v>
      </c>
      <c r="D20" s="10">
        <v>109048.6</v>
      </c>
    </row>
    <row r="21" spans="1:4" ht="13.5" customHeight="1">
      <c r="A21" s="8" t="s">
        <v>273</v>
      </c>
      <c r="B21" s="7" t="s">
        <v>31</v>
      </c>
      <c r="C21" s="9">
        <v>186537.7</v>
      </c>
      <c r="D21" s="9">
        <v>111177.3</v>
      </c>
    </row>
    <row r="22" spans="1:4" ht="13.5" customHeight="1">
      <c r="A22" s="8" t="s">
        <v>274</v>
      </c>
      <c r="B22" s="7" t="s">
        <v>31</v>
      </c>
      <c r="C22" s="10">
        <v>189241.8</v>
      </c>
      <c r="D22" s="10">
        <v>112998.9</v>
      </c>
    </row>
    <row r="23" spans="1:4" ht="13.5" customHeight="1">
      <c r="A23" s="8" t="s">
        <v>275</v>
      </c>
      <c r="B23" s="7" t="s">
        <v>31</v>
      </c>
      <c r="C23" s="9">
        <v>191888.8</v>
      </c>
      <c r="D23" s="9">
        <v>114814.39999999999</v>
      </c>
    </row>
    <row r="24" spans="1:4" ht="13.5" customHeight="1">
      <c r="A24" s="8" t="s">
        <v>276</v>
      </c>
      <c r="B24" s="7" t="s">
        <v>31</v>
      </c>
      <c r="C24" s="10">
        <v>194303</v>
      </c>
      <c r="D24" s="10">
        <v>116601.3</v>
      </c>
    </row>
    <row r="25" spans="1:4" ht="13.5" customHeight="1">
      <c r="A25" s="8" t="s">
        <v>277</v>
      </c>
      <c r="B25" s="7" t="s">
        <v>31</v>
      </c>
      <c r="C25" s="9">
        <v>196560.3</v>
      </c>
      <c r="D25" s="9">
        <v>118546</v>
      </c>
    </row>
    <row r="26" spans="1:4" ht="13.5" customHeight="1">
      <c r="A26" s="8" t="s">
        <v>278</v>
      </c>
      <c r="B26" s="7" t="s">
        <v>31</v>
      </c>
      <c r="C26" s="10">
        <v>198712.1</v>
      </c>
      <c r="D26" s="10">
        <v>120582.2</v>
      </c>
    </row>
    <row r="27" spans="1:4" ht="13.5" customHeight="1">
      <c r="A27" s="8" t="s">
        <v>279</v>
      </c>
      <c r="B27" s="7" t="s">
        <v>31</v>
      </c>
      <c r="C27" s="9">
        <v>200706</v>
      </c>
      <c r="D27" s="9">
        <v>122655.9</v>
      </c>
    </row>
    <row r="28" spans="1:4" ht="13.5" customHeight="1">
      <c r="A28" s="8" t="s">
        <v>280</v>
      </c>
      <c r="B28" s="7" t="s">
        <v>31</v>
      </c>
      <c r="C28" s="10">
        <v>202677</v>
      </c>
      <c r="D28" s="10">
        <v>124737.2</v>
      </c>
    </row>
    <row r="29" spans="1:4" ht="13.5" customHeight="1">
      <c r="A29" s="8" t="s">
        <v>281</v>
      </c>
      <c r="B29" s="7" t="s">
        <v>31</v>
      </c>
      <c r="C29" s="9">
        <v>205052.2</v>
      </c>
      <c r="D29" s="9">
        <v>127007</v>
      </c>
    </row>
    <row r="30" spans="1:4" ht="13.5" customHeight="1">
      <c r="A30" s="8" t="s">
        <v>282</v>
      </c>
      <c r="B30" s="7" t="s">
        <v>31</v>
      </c>
      <c r="C30" s="10">
        <v>207660.7</v>
      </c>
      <c r="D30" s="10">
        <v>129364.8</v>
      </c>
    </row>
    <row r="31" spans="1:4" ht="13.5" customHeight="1">
      <c r="A31" s="8" t="s">
        <v>283</v>
      </c>
      <c r="B31" s="7" t="s">
        <v>31</v>
      </c>
      <c r="C31" s="9">
        <v>209896</v>
      </c>
      <c r="D31" s="9">
        <v>131829.29999999999</v>
      </c>
    </row>
    <row r="32" spans="1:4" ht="13.5" customHeight="1">
      <c r="A32" s="8" t="s">
        <v>284</v>
      </c>
      <c r="B32" s="7" t="s">
        <v>31</v>
      </c>
      <c r="C32" s="10">
        <v>211908.8</v>
      </c>
      <c r="D32" s="10">
        <v>134224.6</v>
      </c>
    </row>
    <row r="33" spans="1:4" ht="13.5" customHeight="1">
      <c r="A33" s="8" t="s">
        <v>285</v>
      </c>
      <c r="B33" s="7" t="s">
        <v>31</v>
      </c>
      <c r="C33" s="9">
        <v>213853.9</v>
      </c>
      <c r="D33" s="9">
        <v>136590</v>
      </c>
    </row>
    <row r="34" spans="1:4" ht="13.5" customHeight="1">
      <c r="A34" s="8" t="s">
        <v>286</v>
      </c>
      <c r="B34" s="7" t="s">
        <v>31</v>
      </c>
      <c r="C34" s="10">
        <v>215973.2</v>
      </c>
      <c r="D34" s="10">
        <v>138915.4</v>
      </c>
    </row>
    <row r="35" spans="1:4" ht="13.5" customHeight="1">
      <c r="A35" s="8" t="s">
        <v>287</v>
      </c>
      <c r="B35" s="7" t="s">
        <v>31</v>
      </c>
      <c r="C35" s="9">
        <v>218035.20000000001</v>
      </c>
      <c r="D35" s="9">
        <v>141381.1</v>
      </c>
    </row>
    <row r="36" spans="1:4" ht="13.5" customHeight="1">
      <c r="A36" s="8" t="s">
        <v>288</v>
      </c>
      <c r="B36" s="7" t="s">
        <v>31</v>
      </c>
      <c r="C36" s="10">
        <v>220239.4</v>
      </c>
      <c r="D36" s="10">
        <v>143750.29999999999</v>
      </c>
    </row>
    <row r="37" spans="1:4" ht="13.5" customHeight="1">
      <c r="A37" s="8" t="s">
        <v>289</v>
      </c>
      <c r="B37" s="7" t="s">
        <v>31</v>
      </c>
      <c r="C37" s="9">
        <v>222584.5</v>
      </c>
      <c r="D37" s="9">
        <v>146127.9</v>
      </c>
    </row>
    <row r="38" spans="1:4" ht="13.5" customHeight="1">
      <c r="A38" s="8" t="s">
        <v>290</v>
      </c>
      <c r="B38" s="7" t="s">
        <v>31</v>
      </c>
      <c r="C38" s="10">
        <v>225055.5</v>
      </c>
      <c r="D38" s="10">
        <v>148467.1</v>
      </c>
    </row>
    <row r="39" spans="1:4" ht="13.5" customHeight="1">
      <c r="A39" s="8" t="s">
        <v>291</v>
      </c>
      <c r="B39" s="7" t="s">
        <v>31</v>
      </c>
      <c r="C39" s="9">
        <v>227224.7</v>
      </c>
      <c r="D39" s="9">
        <v>150227.4</v>
      </c>
    </row>
    <row r="40" spans="1:4" ht="13.5" customHeight="1">
      <c r="A40" s="8" t="s">
        <v>292</v>
      </c>
      <c r="B40" s="7" t="s">
        <v>31</v>
      </c>
      <c r="C40" s="10">
        <v>229465.7</v>
      </c>
      <c r="D40" s="10">
        <v>151991.70000000001</v>
      </c>
    </row>
    <row r="41" spans="1:4" ht="13.5" customHeight="1">
      <c r="A41" s="8" t="s">
        <v>293</v>
      </c>
      <c r="B41" s="7" t="s">
        <v>31</v>
      </c>
      <c r="C41" s="9">
        <v>231664.5</v>
      </c>
      <c r="D41" s="9">
        <v>153546.6</v>
      </c>
    </row>
    <row r="42" spans="1:4" ht="13.5" customHeight="1">
      <c r="A42" s="8" t="s">
        <v>294</v>
      </c>
      <c r="B42" s="7" t="s">
        <v>31</v>
      </c>
      <c r="C42" s="10">
        <v>233792</v>
      </c>
      <c r="D42" s="10">
        <v>154962.70000000001</v>
      </c>
    </row>
    <row r="43" spans="1:4" ht="13.5" customHeight="1">
      <c r="A43" s="8" t="s">
        <v>295</v>
      </c>
      <c r="B43" s="7" t="s">
        <v>31</v>
      </c>
      <c r="C43" s="9">
        <v>235824.9</v>
      </c>
      <c r="D43" s="9">
        <v>156464.29999999999</v>
      </c>
    </row>
    <row r="44" spans="1:4" ht="13.5" customHeight="1">
      <c r="A44" s="8" t="s">
        <v>296</v>
      </c>
      <c r="B44" s="7" t="s">
        <v>31</v>
      </c>
      <c r="C44" s="10">
        <v>237923.8</v>
      </c>
      <c r="D44" s="10">
        <v>157973.70000000001</v>
      </c>
    </row>
    <row r="45" spans="1:4" ht="13.5" customHeight="1">
      <c r="A45" s="8" t="s">
        <v>297</v>
      </c>
      <c r="B45" s="7" t="s">
        <v>31</v>
      </c>
      <c r="C45" s="9">
        <v>240132.9</v>
      </c>
      <c r="D45" s="9">
        <v>159590.20000000001</v>
      </c>
    </row>
    <row r="46" spans="1:4" ht="13.5" customHeight="1">
      <c r="A46" s="8" t="s">
        <v>298</v>
      </c>
      <c r="B46" s="7" t="s">
        <v>31</v>
      </c>
      <c r="C46" s="10">
        <v>242288.9</v>
      </c>
      <c r="D46" s="10">
        <v>160803.4</v>
      </c>
    </row>
    <row r="47" spans="1:4" ht="13.5" customHeight="1">
      <c r="A47" s="8" t="s">
        <v>299</v>
      </c>
      <c r="B47" s="7" t="s">
        <v>31</v>
      </c>
      <c r="C47" s="9">
        <v>244499</v>
      </c>
      <c r="D47" s="9">
        <v>161924.4</v>
      </c>
    </row>
    <row r="48" spans="1:4" ht="13.5" customHeight="1">
      <c r="A48" s="8" t="s">
        <v>300</v>
      </c>
      <c r="B48" s="7" t="s">
        <v>31</v>
      </c>
      <c r="C48" s="10">
        <v>246819.20000000001</v>
      </c>
      <c r="D48" s="10">
        <v>162915.79999999999</v>
      </c>
    </row>
    <row r="49" spans="1:4" ht="13.5" customHeight="1">
      <c r="A49" s="8" t="s">
        <v>301</v>
      </c>
      <c r="B49" s="7" t="s">
        <v>31</v>
      </c>
      <c r="C49" s="9">
        <v>249622.8</v>
      </c>
      <c r="D49" s="9">
        <v>164229.5</v>
      </c>
    </row>
    <row r="50" spans="1:4" ht="13.5" customHeight="1">
      <c r="A50" s="8" t="s">
        <v>302</v>
      </c>
      <c r="B50" s="7" t="s">
        <v>31</v>
      </c>
      <c r="C50" s="10">
        <v>252980.9</v>
      </c>
      <c r="D50" s="10">
        <v>165924.20000000001</v>
      </c>
    </row>
    <row r="51" spans="1:4" ht="13.5" customHeight="1">
      <c r="A51" s="8" t="s">
        <v>303</v>
      </c>
      <c r="B51" s="7" t="s">
        <v>31</v>
      </c>
      <c r="C51" s="9">
        <v>256514.2</v>
      </c>
      <c r="D51" s="9">
        <v>167953.3</v>
      </c>
    </row>
    <row r="52" spans="1:4" ht="13.5" customHeight="1">
      <c r="A52" s="8" t="s">
        <v>304</v>
      </c>
      <c r="B52" s="7" t="s">
        <v>31</v>
      </c>
      <c r="C52" s="10">
        <v>259918.6</v>
      </c>
      <c r="D52" s="10">
        <v>169920.1</v>
      </c>
    </row>
    <row r="53" spans="1:4" ht="13.5" customHeight="1">
      <c r="A53" s="8" t="s">
        <v>305</v>
      </c>
      <c r="B53" s="7" t="s">
        <v>31</v>
      </c>
      <c r="C53" s="9">
        <v>263125.8</v>
      </c>
      <c r="D53" s="9">
        <v>171992.2</v>
      </c>
    </row>
    <row r="54" spans="1:4" ht="13.5" customHeight="1">
      <c r="A54" s="8" t="s">
        <v>306</v>
      </c>
      <c r="B54" s="7" t="s">
        <v>31</v>
      </c>
      <c r="C54" s="10">
        <v>266278.40000000002</v>
      </c>
      <c r="D54" s="10">
        <v>174237.4</v>
      </c>
    </row>
    <row r="55" spans="1:4" ht="13.5" customHeight="1">
      <c r="A55" s="8" t="s">
        <v>307</v>
      </c>
      <c r="B55" s="7" t="s">
        <v>31</v>
      </c>
      <c r="C55" s="9">
        <v>269394.3</v>
      </c>
      <c r="D55" s="9">
        <v>176547.3</v>
      </c>
    </row>
    <row r="56" spans="1:4" ht="13.5" customHeight="1">
      <c r="A56" s="8" t="s">
        <v>308</v>
      </c>
      <c r="B56" s="7" t="s">
        <v>31</v>
      </c>
      <c r="C56" s="10">
        <v>272646.90000000002</v>
      </c>
      <c r="D56" s="10">
        <v>179158</v>
      </c>
    </row>
    <row r="57" spans="1:4" ht="13.5" customHeight="1">
      <c r="A57" s="8" t="s">
        <v>309</v>
      </c>
      <c r="B57" s="7" t="s">
        <v>31</v>
      </c>
      <c r="C57" s="9">
        <v>275854.09999999998</v>
      </c>
      <c r="D57" s="9">
        <v>181754.5</v>
      </c>
    </row>
    <row r="58" spans="1:4" ht="13.5" customHeight="1">
      <c r="A58" s="8" t="s">
        <v>310</v>
      </c>
      <c r="B58" s="7" t="s">
        <v>31</v>
      </c>
      <c r="C58" s="10">
        <v>279040.2</v>
      </c>
      <c r="D58" s="10">
        <v>184287</v>
      </c>
    </row>
    <row r="59" spans="1:4" ht="13.5" customHeight="1">
      <c r="A59" s="8" t="s">
        <v>311</v>
      </c>
      <c r="B59" s="7" t="s">
        <v>31</v>
      </c>
      <c r="C59" s="9">
        <v>282162.40000000002</v>
      </c>
      <c r="D59" s="9">
        <v>186813</v>
      </c>
    </row>
    <row r="60" spans="1:4" ht="13.5" customHeight="1">
      <c r="A60" s="8" t="s">
        <v>312</v>
      </c>
      <c r="B60" s="7" t="s">
        <v>31</v>
      </c>
      <c r="C60" s="10">
        <v>284969</v>
      </c>
      <c r="D60" s="10">
        <v>189228.4</v>
      </c>
    </row>
    <row r="61" spans="1:4" ht="13.5" customHeight="1">
      <c r="A61" s="8" t="s">
        <v>313</v>
      </c>
      <c r="B61" s="7" t="s">
        <v>31</v>
      </c>
      <c r="C61" s="9">
        <v>287625.2</v>
      </c>
      <c r="D61" s="9">
        <v>191540</v>
      </c>
    </row>
    <row r="62" spans="1:4" ht="13.5" customHeight="1">
      <c r="A62" s="8" t="s">
        <v>314</v>
      </c>
      <c r="B62" s="7" t="s">
        <v>31</v>
      </c>
      <c r="C62" s="10">
        <v>290107.90000000002</v>
      </c>
      <c r="D62" s="10">
        <v>193615.8</v>
      </c>
    </row>
    <row r="63" spans="1:4" ht="13.5" customHeight="1">
      <c r="A63" s="8" t="s">
        <v>315</v>
      </c>
      <c r="B63" s="7" t="s">
        <v>31</v>
      </c>
      <c r="C63" s="9">
        <v>292805.3</v>
      </c>
      <c r="D63" s="9">
        <v>195950.2</v>
      </c>
    </row>
    <row r="64" spans="1:4" ht="13.5" customHeight="1">
      <c r="A64" s="8" t="s">
        <v>316</v>
      </c>
      <c r="B64" s="7" t="s">
        <v>31</v>
      </c>
      <c r="C64" s="10">
        <v>295516.59999999998</v>
      </c>
      <c r="D64" s="10">
        <v>198347.8</v>
      </c>
    </row>
    <row r="65" spans="1:4" ht="13.5" customHeight="1">
      <c r="A65" s="8" t="s">
        <v>317</v>
      </c>
      <c r="B65" s="7" t="s">
        <v>31</v>
      </c>
      <c r="C65" s="9">
        <v>298379.90000000002</v>
      </c>
      <c r="D65" s="9">
        <v>200699.1</v>
      </c>
    </row>
    <row r="66" spans="1:4" ht="13.5" customHeight="1">
      <c r="A66" s="8" t="s">
        <v>318</v>
      </c>
      <c r="B66" s="7" t="s">
        <v>31</v>
      </c>
      <c r="C66" s="10">
        <v>301231.2</v>
      </c>
      <c r="D66" s="10">
        <v>202723.9</v>
      </c>
    </row>
    <row r="67" spans="1:4" ht="13.5" customHeight="1">
      <c r="A67" s="8" t="s">
        <v>319</v>
      </c>
      <c r="B67" s="7" t="s">
        <v>31</v>
      </c>
      <c r="C67" s="9">
        <v>304094</v>
      </c>
      <c r="D67" s="9">
        <v>204409</v>
      </c>
    </row>
    <row r="68" spans="1:4" ht="13.5" customHeight="1">
      <c r="A68" s="8" t="s">
        <v>320</v>
      </c>
      <c r="B68" s="7" t="s">
        <v>31</v>
      </c>
      <c r="C68" s="10">
        <v>306771.5</v>
      </c>
      <c r="D68" s="10">
        <v>206060.79999999999</v>
      </c>
    </row>
    <row r="69" spans="1:4" ht="13.5" customHeight="1">
      <c r="A69" s="8" t="s">
        <v>321</v>
      </c>
      <c r="B69" s="7" t="s">
        <v>31</v>
      </c>
      <c r="C69" s="9">
        <v>309347.09999999998</v>
      </c>
      <c r="D69" s="9">
        <v>207665.3</v>
      </c>
    </row>
    <row r="70" spans="1:4" ht="13.5" customHeight="1">
      <c r="A70" s="8" t="s">
        <v>322</v>
      </c>
      <c r="B70" s="7" t="s">
        <v>31</v>
      </c>
      <c r="C70" s="10">
        <v>311721.59999999998</v>
      </c>
      <c r="D70" s="10">
        <v>209179.2</v>
      </c>
    </row>
    <row r="71" spans="1:4" ht="13.5" customHeight="1">
      <c r="A71" s="8" t="s">
        <v>323</v>
      </c>
      <c r="B71" s="7" t="s">
        <v>31</v>
      </c>
      <c r="C71" s="9">
        <v>314112.09999999998</v>
      </c>
      <c r="D71" s="9">
        <v>209823</v>
      </c>
    </row>
    <row r="72" spans="1:4" ht="13.5" customHeight="1">
      <c r="A72" s="8" t="s">
        <v>324</v>
      </c>
      <c r="B72" s="7" t="s">
        <v>31</v>
      </c>
      <c r="C72" s="10">
        <v>316498</v>
      </c>
      <c r="D72" s="10">
        <v>210673.5</v>
      </c>
    </row>
    <row r="73" spans="1:4" ht="13.5" customHeight="1">
      <c r="A73" s="8" t="s">
        <v>325</v>
      </c>
      <c r="B73" s="7" t="s">
        <v>31</v>
      </c>
      <c r="C73" s="9">
        <v>318857</v>
      </c>
      <c r="D73" s="9">
        <v>211545.9</v>
      </c>
    </row>
    <row r="74" spans="1:4">
      <c r="A74" s="11" t="s">
        <v>326</v>
      </c>
    </row>
    <row r="75" spans="1:4">
      <c r="A75" s="12" t="s">
        <v>327</v>
      </c>
    </row>
    <row r="76" spans="1:4">
      <c r="A76" s="13" t="s">
        <v>328</v>
      </c>
      <c r="B76" s="12" t="s">
        <v>329</v>
      </c>
    </row>
  </sheetData>
  <mergeCells count="8">
    <mergeCell ref="A6:B6"/>
    <mergeCell ref="A7:B7"/>
    <mergeCell ref="C5:D5"/>
    <mergeCell ref="A5:B5"/>
    <mergeCell ref="A3:B3"/>
    <mergeCell ref="C3:D3"/>
    <mergeCell ref="A4:B4"/>
    <mergeCell ref="C4:D4"/>
  </mergeCells>
  <phoneticPr fontId="2" type="noConversion"/>
  <hyperlinks>
    <hyperlink ref="A2" r:id="rId1" tooltip="Click once to display linked information. Click and hold to select this cell." display="http://localhost/OECDStat_Metadata/ShowMetadata.ashx?Dataset=ALFS_POP_LABOUR&amp;ShowOnWeb=true&amp;Lang=en" xr:uid="{9810D903-729A-8740-8831-A988BDE2CFB3}"/>
    <hyperlink ref="C5" r:id="rId2" tooltip="Click once to display linked information. Click and hold to select this cell." display="http://localhost/OECDStat_Metadata/ShowMetadata.ashx?Dataset=ALFS_POP_LABOUR&amp;Coords=%5bLOCATION%5d.%5bUSA%5d&amp;ShowOnWeb=true&amp;Lang=en" xr:uid="{02DE0ED6-9C31-404F-82D9-7A7B60C465E1}"/>
    <hyperlink ref="C8" r:id="rId3" tooltip="Click once to display linked information. Click and hold to select this cell." display="http://localhost/OECDStat_Metadata/ShowMetadata.ashx?Dataset=ALFS_POP_LABOUR&amp;Coords=%5bSEX%5d.%5bTT%5d,%5bFREQUENCY%5d.%5bA%5d,%5bSUBJECT%5d.%5bYP99TTL1_ST%5d,%5bLOCATION%5d.%5bUSA%5d&amp;ShowOnWeb=true" xr:uid="{722096E5-E855-1F4C-89E4-3459E39358DC}"/>
    <hyperlink ref="D8" r:id="rId4" tooltip="Click once to display linked information. Click and hold to select this cell." display="http://localhost/OECDStat_Metadata/ShowMetadata.ashx?Dataset=ALFS_POP_LABOUR&amp;Coords=[SEX].[TT],[FREQUENCY].[A],[SUBJECT].[YP99P2L1_ST],[LOCATION].[USA]&amp;ShowOnWeb=true" xr:uid="{BB0F0288-54AD-BF4B-95DE-2C1674B54088}"/>
    <hyperlink ref="A74" r:id="rId5" tooltip="Click once to display linked information. Click and hold to select this cell." display="http://stats.oecd.org/" xr:uid="{9CFC7A6A-BB71-1141-9A4D-591BD2C38483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Economic Outlook</vt:lpstr>
      <vt:lpstr>sale tax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浥晨 郑</dc:creator>
  <cp:lastModifiedBy>浥晨 郑</cp:lastModifiedBy>
  <dcterms:created xsi:type="dcterms:W3CDTF">2024-01-07T04:33:01Z</dcterms:created>
  <dcterms:modified xsi:type="dcterms:W3CDTF">2024-01-08T01:46:18Z</dcterms:modified>
</cp:coreProperties>
</file>