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/>
  <mc:AlternateContent xmlns:mc="http://schemas.openxmlformats.org/markup-compatibility/2006">
    <mc:Choice Requires="x15">
      <x15ac:absPath xmlns:x15ac="http://schemas.microsoft.com/office/spreadsheetml/2010/11/ac" url="/Users/9527document/python code /Mypaper /Dynamic Production Network Accounting /Replication File/Raw Data/"/>
    </mc:Choice>
  </mc:AlternateContent>
  <xr:revisionPtr revIDLastSave="0" documentId="13_ncr:1_{31607627-4B10-2D4E-9BB9-B2DDD337462E}" xr6:coauthVersionLast="47" xr6:coauthVersionMax="47" xr10:uidLastSave="{00000000-0000-0000-0000-000000000000}"/>
  <bookViews>
    <workbookView xWindow="9300" yWindow="3020" windowWidth="30240" windowHeight="14660" activeTab="1" xr2:uid="{00000000-000D-0000-FFFF-FFFF00000000}"/>
  </bookViews>
  <sheets>
    <sheet name="OECD.Stat export" sheetId="1" r:id="rId1"/>
    <sheet name="1900- 1999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2" l="1"/>
  <c r="E55" i="2"/>
  <c r="E53" i="2"/>
  <c r="A1" i="1"/>
</calcChain>
</file>

<file path=xl/sharedStrings.xml><?xml version="1.0" encoding="utf-8"?>
<sst xmlns="http://schemas.openxmlformats.org/spreadsheetml/2006/main" count="224" uniqueCount="118">
  <si>
    <t>&lt;?xml version="1.0" encoding="utf-16"?&gt;&lt;WebTableParameter xmlns:xsd="http://www.w3.org/2001/XMLSchema" xmlns:xsi="http://www.w3.org/2001/XMLSchema-instance" xmlns="http://stats.oecd.org/OECDStatWS/2004/03/01/"&gt;&lt;DataTable Code="HISTPOP" HasMetadata="true"&gt;&lt;Name LocaleIsoCode="en"&gt;Historical population&lt;/Name&gt;&lt;Name LocaleIsoCode="fr"&gt;Données historiques de la population&lt;/Name&gt;&lt;Dimension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Code="CRI" HasMetadata="false" HasOnlyUnitMetadata="false" HasChild="0"&gt;&lt;Name LocaleIsoCode="en"&gt;Costa Rica&lt;/Name&gt;&lt;Name LocaleIsoCode="fr"&gt;Costa Rica&lt;/Name&gt;&lt;/Member&gt;&lt;Member Code="CZE" HasMetadata="false" HasOnlyUnitMetadata="false" HasChild="0"&gt;&lt;Name LocaleIsoCode="en"&gt;Czechia&lt;/Name&gt;&lt;Name LocaleIsoCode="fr"&gt;Tchéquie&lt;/Name&gt;&lt;/Member&gt;&lt;Member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HasMetadata="false"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Code="TUR" HasMetadata="false" HasOnlyUnitMetadata="false" HasChild="0"&gt;&lt;Name LocaleIsoCode="en"&gt;Türkiye&lt;/Name&gt;&lt;Name LocaleIsoCode="fr"&gt;Türkiye&lt;/Name&gt;&lt;/Member&gt;&lt;Member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 IsDisplayed="true"&gt;&lt;Name LocaleIsoCode="en"&gt;United States&lt;/Name&gt;&lt;Name LocaleIsoCode="fr"&gt;États-Unis&lt;/Name&gt;&lt;/Member&gt;&lt;Member Code="EU27" HasMetadata="true" HasOnlyUnitMetadata="false" HasChild="0"&gt;&lt;Name LocaleIsoCode="en"&gt;European Union (27 countries)&lt;/Name&gt;&lt;Name LocaleIsoCode="fr"&gt;Union européenne (27 pays)&lt;/Name&gt;&lt;/Member&gt;&lt;Member Code="G20" HasMetadata="false" HasOnlyUnitMetadata="false" HasChild="0"&gt;&lt;Name LocaleIsoCode="en"&gt;G20&lt;/Name&gt;&lt;Name LocaleIsoCode="fr"&gt;G20&lt;/Name&gt;&lt;/Member&gt;&lt;Member Code="OECD" HasMetadata="false" HasOnlyUnitMetadata="false" HasChild="0"&gt;&lt;Name LocaleIsoCode="en"&gt;OECD - Total&lt;/Name&gt;&lt;Name LocaleIsoCode="fr"&gt;OCDE - Total&lt;/Name&gt;&lt;/Member&gt;&lt;Member Code="WLD" HasMetadata="false" HasOnlyUnitMetadata="false" HasChild="0"&gt;&lt;Name LocaleIsoCode="en"&gt;World&lt;/Name&gt;&lt;Name LocaleIsoCode="fr"&gt;Monde&lt;/Name&gt;&lt;/Member&gt;&lt;Member Code="NMEC" HasMetadata="false" HasOnlyUnitMetadata="false" HasChild="1"&gt;&lt;Name LocaleIsoCode="en"&gt;Non-OECD Economies&lt;/Name&gt;&lt;Name LocaleIsoCode="fr"&gt;Économies non-OCDE&lt;/Name&gt;&lt;ChildMember Code="ARG" HasMetadata="false" HasOnlyUnitMetadata="false" HasChild="0"&gt;&lt;Name LocaleIsoCode="en"&gt;Argentina&lt;/Name&gt;&lt;Name LocaleIsoCode="fr"&gt;Argentine&lt;/Name&gt;&lt;/ChildMember&gt;&lt;ChildMember Code="BRA" HasMetadata="false" HasOnlyUnitMetadata="false" HasChild="0"&gt;&lt;Name LocaleIsoCode="en"&gt;Brazil&lt;/Name&gt;&lt;Name LocaleIsoCode="fr"&gt;Brésil&lt;/Name&gt;&lt;/ChildMember&gt;&lt;ChildMember Code="BGR" HasMetadata="false" HasOnlyUnitMetadata="false" HasChild="0"&gt;&lt;Name LocaleIsoCode="en"&gt;Bulgaria&lt;/Name&gt;&lt;Name LocaleIsoCode="fr"&gt;Bulgarie&lt;/Name&gt;&lt;/ChildMember&gt;&lt;ChildMember Code="CHN" HasMetadata="false" HasOnlyUnitMetadata="false" HasChild="0"&gt;&lt;Name LocaleIsoCode="en"&gt;China (People's Republic of)&lt;/Name&gt;&lt;Name LocaleIsoCode="fr"&gt;Chine (République populaire de)&lt;/Name&gt;&lt;/ChildMember&gt;&lt;ChildMember Code="HRV" HasMetadata="false" HasOnlyUnitMetadata="false" HasChild="0"&gt;&lt;Name LocaleIsoCode="en"&gt;Croatia&lt;/Name&gt;&lt;Name LocaleIsoCode="fr"&gt;Croatie&lt;/Name&gt;&lt;/ChildMember&gt;&lt;ChildMember Code="CYP" HasMetadata="true" HasOnlyUnitMetadata="false" HasChild="0"&gt;&lt;Name LocaleIsoCode="en"&gt;Cyprus&lt;/Name&gt;&lt;Name LocaleIsoCode="fr"&gt;Chypre&lt;/Name&gt;&lt;/ChildMember&gt;&lt;ChildMember Code="IND" HasMetadata="false" HasOnlyUnitMetadata="false" HasChild="0"&gt;&lt;Name LocaleIsoCode="en"&gt;India&lt;/Name&gt;&lt;Name LocaleIsoCode="fr"&gt;Inde&lt;/Name&gt;&lt;/ChildMember&gt;&lt;ChildMember Code="IDN" HasMetadata="false" HasOnlyUnitMetadata="false" HasChild="0"&gt;&lt;Name LocaleIsoCode="en"&gt;Indonesia&lt;/Name&gt;&lt;Name LocaleIsoCode="fr"&gt;Indonésie&lt;/Name&gt;&lt;/ChildMember&gt;&lt;ChildMember Code="MLT" HasMetadata="false" HasOnlyUnitMetadata="false" HasChild="0"&gt;&lt;Name LocaleIsoCode="en"&gt;Malta&lt;/Name&gt;&lt;Name LocaleIsoCode="fr"&gt;Malte&lt;/Name&gt;&lt;/ChildMember&gt;&lt;ChildMember Code="ROU" HasMetadata="false" HasOnlyUnitMetadata="false" HasChild="0"&gt;&lt;Name LocaleIsoCode="en"&gt;Romania&lt;/Name&gt;&lt;Name LocaleIsoCode="fr"&gt;Roumanie&lt;/Name&gt;&lt;/ChildMember&gt;&lt;ChildMember Code="RUS" HasMetadata="false" HasOnlyUnitMetadata="false" HasChild="0"&gt;&lt;Name LocaleIsoCode="en"&gt;Russia&lt;/Name&gt;&lt;Name LocaleIsoCode="fr"&gt;Russie&lt;/Name&gt;&lt;/ChildMember&gt;&lt;ChildMember Code="SAU" HasMetadata="false" HasOnlyUnitMetadata="false" HasChild="0"&gt;&lt;Name LocaleIsoCode="en"&gt;Saudi Arabia&lt;/Name&gt;&lt;Name LocaleIsoCode="fr"&gt;Arabie saoudite&lt;/Name&gt;&lt;/ChildMember&gt;&lt;ChildMember Code="SGP" HasMetadata="false" HasOnlyUnitMetadata="false" HasChild="0"&gt;&lt;Name LocaleIsoCode="en"&gt;Singapore&lt;/Name&gt;&lt;Name LocaleIsoCode="fr"&gt;Singapour&lt;/Name&gt;&lt;/ChildMember&gt;&lt;ChildMember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Code="TIME" HasMetadata="false" CommonCode="TIME" Display="labels"&gt;&lt;Name LocaleIsoCode="en"&gt;Time&lt;/Name&gt;&lt;Name LocaleIsoCode="fr"&gt;Temps&lt;/Name&gt;&lt;Member Code="1950" HasMetadata="false"&gt;&lt;Name LocaleIsoCode="en"&gt;1950&lt;/Name&gt;&lt;Name LocaleIsoCode="fr"&gt;1950&lt;/Name&gt;&lt;/Member&gt;&lt;Member Code="1951" HasMetadata="false"&gt;&lt;Name LocaleIsoCode="en"&gt;1951&lt;/Name&gt;&lt;Name LocaleIsoCode="fr"&gt;1951&lt;/Name&gt;&lt;/Member&gt;&lt;Member Code="1952" HasMetadata="false"&gt;&lt;Name LocaleIsoCode="en"&gt;1952&lt;/Name&gt;&lt;Name LocaleIsoCode="fr"&gt;1952&lt;/Name&gt;&lt;/Member&gt;&lt;Member Code="1953" HasMetadata="false"&gt;&lt;Name LocaleIsoCode="en"&gt;1953&lt;/Name&gt;&lt;Name LocaleIsoCode="fr"&gt;1953&lt;/Name&gt;&lt;/Member&gt;&lt;Member Code="1954" HasMetadata="false"&gt;&lt;Name LocaleIsoCode="en"&gt;1954&lt;/Name&gt;&lt;Name LocaleIsoCode="fr"&gt;1954&lt;/Name&gt;&lt;/Member&gt;&lt;Member Code="1955" HasMetadata="false"&gt;&lt;Name LocaleIsoCode="en"&gt;1955&lt;/Name&gt;&lt;Name LocaleIsoCode="fr"&gt;1955&lt;/Name&gt;&lt;/Member&gt;&lt;Member Code="1956" HasMetadata="false"&gt;&lt;Name LocaleIsoCode="en"&gt;1956&lt;/Name&gt;&lt;Name LocaleIsoCode="fr"&gt;1956&lt;/Name&gt;&lt;/Member&gt;&lt;Member Code="1957" HasMetadata="false"&gt;&lt;Name LocaleIsoCode="en"&gt;1957&lt;/Name&gt;&lt;Name LocaleIsoCode="fr"&gt;1957&lt;/Name&gt;&lt;/Member&gt;&lt;Member Code="1958" HasMetadata="false"&gt;&lt;Name LocaleIsoCode="en"&gt;1958&lt;/Name&gt;&lt;Name LocaleIsoCode="fr"&gt;1958&lt;/Name&gt;&lt;/Member&gt;&lt;Member Code="1959" HasMetadata="false"&gt;&lt;Name LocaleIsoCode="en"&gt;1959&lt;/Name&gt;&lt;Name LocaleIsoCode="fr"&gt;1959&lt;/Name&gt;&lt;/Member&gt;&lt;Member Code="1960" HasMetadata="false"&gt;&lt;Name LocaleIsoCode="en"&gt;1960&lt;/Name&gt;&lt;Name LocaleIsoCode="fr"&gt;1960&lt;/Name&gt;&lt;/Member&gt;&lt;Member Code="1961" HasMetadata="false"&gt;&lt;Name LocaleIsoCode="en"&gt;1961&lt;/Name&gt;&lt;Name LocaleIsoCode="fr"&gt;1961&lt;/Name&gt;&lt;/Member&gt;&lt;Member Code="1962" HasMetadata="false"&gt;&lt;Name LocaleIsoCode="en"&gt;1962&lt;/Name&gt;&lt;Name LocaleIsoCode="fr"&gt;1962&lt;/Name&gt;&lt;/Member&gt;&lt;Member Code="1963" HasMetadata="false"&gt;&lt;Name LocaleIsoCode="en"&gt;1963&lt;/Name&gt;&lt;Name LocaleIsoCode="fr"&gt;1963&lt;/Name&gt;&lt;/Member&gt;&lt;Member Code="1964" HasMetadata="false"&gt;&lt;Name LocaleIsoCode="en"&gt;1964&lt;/Name&gt;&lt;Name LocaleIsoCode="fr"&gt;1964&lt;/Name&gt;&lt;/Member&gt;&lt;Member Code="1965" HasMetadata="false"&gt;&lt;Name LocaleIsoCode="en"&gt;1965&lt;/Name&gt;&lt;Name LocaleIsoCode="fr"&gt;1965&lt;/Name&gt;&lt;/Member&gt;&lt;Member Code="1966" HasMetadata="false"&gt;&lt;Name LocaleIsoCode="en"&gt;1966&lt;/Name&gt;&lt;Name LocaleIsoCode="fr"&gt;1966&lt;/Name&gt;&lt;/Member&gt;&lt;Member Code="1967" HasMetadata="false"&gt;&lt;Name LocaleIsoCode="en"&gt;1967&lt;/Name&gt;&lt;Name LocaleIsoCode="fr"&gt;1967&lt;/Name&gt;&lt;/Member&gt;&lt;Member Code="1968" HasMetadata="false"&gt;&lt;Name LocaleIsoCode="en"&gt;1968&lt;/Name&gt;&lt;Name LocaleIsoCode="fr"&gt;1968&lt;/Name&gt;&lt;/Member&gt;&lt;Member Code="1969" HasMetadata="false"&gt;&lt;Name LocaleIsoCode="en"&gt;1969&lt;/Name&gt;&lt;Name LocaleIsoCode="fr"&gt;1969&lt;/Name&gt;&lt;/Member&gt;&lt;Member Code="1970" HasMetadata="false"&gt;&lt;Name LocaleIsoCode="en"&gt;1970&lt;/Name&gt;&lt;Name LocaleIsoCode="fr"&gt;1970&lt;/Name&gt;&lt;/Member&gt;&lt;Member Code="1971" HasMetadata="false"&gt;&lt;Name LocaleIsoCode="en"&gt;1971&lt;/Name&gt;&lt;Name LocaleIsoCode="fr"&gt;1971&lt;/Name&gt;&lt;/Member&gt;&lt;Member Code="1972" HasMetadata="false"&gt;&lt;Name LocaleIsoCode="en"&gt;1972&lt;/Name&gt;&lt;Name LocaleIsoCode="fr"&gt;1972&lt;/Name&gt;&lt;/Member&gt;&lt;Member Code="1973" HasMetadata="false"&gt;&lt;Name LocaleIsoCode="en"&gt;1973&lt;/Name&gt;&lt;Name LocaleIsoCode="fr"&gt;1973&lt;/Name&gt;&lt;/Member&gt;&lt;Member Code="1974" HasMetadata="false"&gt;&lt;Name LocaleIsoCode="en"&gt;1974&lt;/Name&gt;&lt;Name LocaleIsoCode="fr"&gt;1974&lt;/Name&gt;&lt;/Member&gt;&lt;Member Code="1975" HasMetadata="false"&gt;&lt;Name LocaleIsoCode="en"&gt;1975&lt;/Name&gt;&lt;Name LocaleIsoCode="fr"&gt;1975&lt;/Name&gt;&lt;/Member&gt;&lt;Member Code="1976" HasMetadata="false"&gt;&lt;Name LocaleIsoCode="en"&gt;1976&lt;/Name&gt;&lt;Name LocaleIsoCode="fr"&gt;1976&lt;/Name&gt;&lt;/Member&gt;&lt;Member Code="1977" HasMetadata="false"&gt;&lt;Name LocaleIsoCode="en"&gt;1977&lt;/Name&gt;&lt;Name LocaleIsoCode="fr"&gt;1977&lt;/Name&gt;&lt;/Member&gt;&lt;Member Code="1978" HasMetadata="false"&gt;&lt;Name LocaleIsoCode="en"&gt;1978&lt;/Name&gt;&lt;Name LocaleIsoCode="fr"&gt;1978&lt;/Name&gt;&lt;/Member&gt;&lt;Member Code="1979" HasMetadata="false"&gt;&lt;Name LocaleIsoCode="en"&gt;1979&lt;/Name&gt;&lt;Name LocaleIsoCode="fr"&gt;1979&lt;/Name&gt;&lt;/Member&gt;&lt;Member Code="1980" HasMetadata="false"&gt;&lt;Name LocaleIsoCode="en"&gt;1980&lt;/Name&gt;&lt;Name LocaleIsoCode="fr"&gt;1980&lt;/Name&gt;&lt;/Member&gt;&lt;Member Code="1981" HasMetadata="false"&gt;&lt;Name LocaleIsoCode="en"&gt;1981&lt;/Name&gt;&lt;Name LocaleIsoCode="fr"&gt;1981&lt;/Name&gt;&lt;/Member&gt;&lt;Member Code="1982" HasMetadata="false"&gt;&lt;Name LocaleIsoCode="en"&gt;1982&lt;/Name&gt;&lt;Name LocaleIsoCode="fr"&gt;1982&lt;/Name&gt;&lt;/Member&gt;&lt;Member Code="1983" HasMetadata="false"&gt;&lt;Name LocaleIsoCode="en"&gt;1983&lt;/Name&gt;&lt;Name LocaleIsoCode="fr"&gt;1983&lt;/Name&gt;&lt;/Member&gt;&lt;Member Code="1984" HasMetadata="false"&gt;&lt;Name LocaleIsoCode="en"&gt;1984&lt;/Name&gt;&lt;Name LocaleIsoCode="fr"&gt;1984&lt;/Name&gt;&lt;/Member&gt;&lt;Member Code="1985" HasMetadata="false"&gt;&lt;Name LocaleIsoCode="en"&gt;1985&lt;/Name&gt;&lt;Name LocaleIsoCode="fr"&gt;1985&lt;/Name&gt;&lt;/Member&gt;&lt;Member Code="1986" HasMetadata="false"&gt;&lt;Name LocaleIsoCode="en"&gt;1986&lt;/Name&gt;&lt;Name LocaleIsoCode="fr"&gt;1986&lt;/Name&gt;&lt;/Member&gt;&lt;Member Code="1987" HasMetadata="false"&gt;&lt;Name LocaleIsoCode="en"&gt;1987&lt;/Name&gt;&lt;Name LocaleIsoCode="fr"&gt;1987&lt;/Name&gt;&lt;/Member&gt;&lt;Member Code="1988" HasMetadata="false"&gt;&lt;Name LocaleIsoCode="en"&gt;1988&lt;/Name&gt;&lt;Name LocaleIsoCode="fr"&gt;1988&lt;/Name&gt;&lt;/Member&gt;&lt;Member Code="1989" HasMetadata="false"&gt;&lt;Name LocaleIsoCode="en"&gt;1989&lt;/Name&gt;&lt;Name LocaleIsoCode="fr"&gt;1989&lt;/Name&gt;&lt;/Member&gt;&lt;Member Code="1990" HasMetadata="false"&gt;&lt;Name LocaleIsoCode="en"&gt;1990&lt;/Name&gt;&lt;Name LocaleIsoCode="fr"&gt;1990&lt;/Name&gt;&lt;/Member&gt;&lt;Member Code="1991" HasMetadata="false"&gt;&lt;Name LocaleIsoCode="en"&gt;1991&lt;/Name&gt;&lt;Name LocaleIsoCode="fr"&gt;1991&lt;/Name&gt;&lt;/Member&gt;&lt;Member Code="1992" HasMetadata="false"&gt;&lt;Name LocaleIsoCode="en"&gt;1992&lt;/Name&gt;&lt;Name LocaleIsoCode="fr"&gt;1992&lt;/Name&gt;&lt;/Member&gt;&lt;Member Code="1993" HasMetadata="false"&gt;&lt;Name LocaleIsoCode="en"&gt;1993&lt;/Name&gt;&lt;Name LocaleIsoCode="fr"&gt;1993&lt;/Name&gt;&lt;/Member&gt;&lt;Member Code="1994" HasMetadata="false"&gt;&lt;Name LocaleIsoCode="en"&gt;1994&lt;/Name&gt;&lt;Name LocaleIsoCode="fr"&gt;1994&lt;/Name&gt;&lt;/Member&gt;&lt;Member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LocaleIsoCode="fr"&gt;2019&lt;/Name&gt;&lt;/Member&gt;&lt;Member Code="2020" HasMetadata="false"&gt;&lt;Name LocaleIsoCode="en"&gt;2020&lt;/Name&gt;&lt;Name LocaleIsoCode="fr"&gt;2020&lt;/Name&gt;&lt;/Member&gt;&lt;Member Code="2021" HasMetadata="false"&gt;&lt;Name LocaleIsoCode="en"&gt;2021&lt;/Name&gt;&lt;Name LocaleIsoCode="fr"&gt;2021&lt;/Name&gt;&lt;/Member&gt;&lt;Member Code="2022" HasMetadata="false"&gt;&lt;Name LocaleIsoCode="en"&gt;2022&lt;/Name&gt;&lt;Name LocaleIsoCode="fr"&gt;2022&lt;/Name&gt;&lt;/Member&gt;&lt;/Dimension&gt;&lt;Dimension Code="SEX" HasMetadata="false" CommonCode="SEX" Display="labels"&gt;&lt;Name LocaleIsoCode="en"&gt;Sex&lt;/Name&gt;&lt;Name LocaleIsoCode="fr"&gt;Sexe&lt;/Name&gt;&lt;Member Code="W" HasMetadata="false" HasOnlyUnitMetadata="false" HasChild="0"&gt;&lt;Name LocaleIsoCode="en"&gt;Women&lt;/Name&gt;&lt;Name LocaleIsoCode="fr"&gt;Femmes&lt;/Name&gt;&lt;/Member&gt;&lt;Member Code="M" HasMetadata="false" HasOnlyUnitMetadata="false" HasChild="0"&gt;&lt;Name LocaleIsoCode="en"&gt;Men&lt;/Name&gt;&lt;Name LocaleIsoCode="fr"&gt;Hommes&lt;/Name&gt;&lt;/Member&gt;&lt;Member Code="T" HasMetadata="false" HasOnlyUnitMetadata="false" HasChild="0" IsDisplayed="true"&gt;&lt;Name LocaleIsoCode="en"&gt;Total&lt;/Name&gt;&lt;Name LocaleIsoCode="fr"&gt;Total&lt;/Name&gt;&lt;/Member&gt;&lt;/Dimension&gt;&lt;Dimension Code="AGE" HasMetadata="false" Display="labels"&gt;&lt;Name LocaleIsoCode="en"&gt;Age&lt;/Name&gt;&lt;Name LocaleIsoCode="fr"&gt;Âge&lt;/Name&gt;&lt;Member Code="TOTAL" HasMetadata="false" HasOnlyUnitMetadata="false" HasChild="0"&gt;&lt;Name LocaleIsoCode="en"&gt;Total&lt;/Name&gt;&lt;Name LocaleIsoCode="fr"&gt;Total&lt;/Name&gt;&lt;/Member&gt;&lt;Member Code="0_4" HasMetadata="false" HasOnlyUnitMetadata="false" HasChild="0"&gt;&lt;Name LocaleIsoCode="en"&gt;0 to 4&lt;/Name&gt;&lt;Name LocaleIsoCode="fr"&gt;0 à 4 ans&lt;/Name&gt;&lt;/Member&gt;&lt;Member Code="05_9" HasMetadata="false" HasOnlyUnitMetadata="false" HasChild="0"&gt;&lt;Name LocaleIsoCode="en"&gt;5 to 9&lt;/Name&gt;&lt;Name LocaleIsoCode="fr"&gt;5 à 9 ans&lt;/Name&gt;&lt;/Member&gt;&lt;Member Code="10_14" HasMetadata="false" HasOnlyUnitMetadata="false" HasChild="0"&gt;&lt;Name LocaleIsoCode="en"&gt;10 to 14&lt;/Name&gt;&lt;Name LocaleIsoCode="fr"&gt;10 a 14 ans&lt;/Name&gt;&lt;/Member&gt;&lt;Member Code="15_19" HasMetadata="false" HasOnlyUnitMetadata="false" HasChild="0"&gt;&lt;Name LocaleIsoCode="en"&gt;15 to 19&lt;/Name&gt;&lt;Name LocaleIsoCode="fr"&gt;15 à 19 ans&lt;/Name&gt;&lt;/Member&gt;&lt;Member Code="20_24" HasMetadata="false" HasOnlyUnitMetadata="false" HasChild="0"&gt;&lt;Name LocaleIsoCode="en"&gt;20 to 24&lt;/Name&gt;&lt;Name LocaleIsoCode="fr"&gt;20 à 24 ans&lt;/Name&gt;&lt;/Member&gt;&lt;Member Code="25_29" HasMetadata="false" HasOnlyUnitMetadata="false" HasChild="0"&gt;&lt;Name LocaleIsoCode="en"&gt;25 to 29&lt;/Name&gt;&lt;Name LocaleIsoCode="fr"&gt;25 à 29 ans&lt;/Name&gt;&lt;/Member&gt;&lt;Member Code="30_34" HasMetadata="false" HasOnlyUnitMetadata="false" HasChild="0"&gt;&lt;Name LocaleIsoCode="en"&gt;30 to 34&lt;/Name&gt;&lt;Name LocaleIsoCode="fr"&gt;30 à 34 ans&lt;/Name&gt;&lt;/Member&gt;&lt;Member Code="35_39" HasMetadata="false" HasOnlyUnitMetadata="false" HasChild="0"&gt;&lt;Name LocaleIsoCode="en"&gt;35 to 39&lt;/Name&gt;&lt;Name LocaleIsoCode="fr"&gt;35 à 39 ans&lt;/Name&gt;&lt;/Member&gt;&lt;Member Code="40_44" HasMetadata="false" HasOnlyUnitMetadata="false" HasChild="0"&gt;&lt;Name LocaleIsoCode="en"&gt;40 to 44&lt;/Name&gt;&lt;Name LocaleIsoCode="fr"&gt;40 à 44 ans&lt;/Name&gt;&lt;/Member&gt;&lt;Member Code="45_49" HasMetadata="false" HasOnlyUnitMetadata="false" HasChild="0"&gt;&lt;Name LocaleIsoCode="en"&gt;45 to 49&lt;/Name&gt;&lt;Name LocaleIsoCode="fr"&gt;45 à 49 ans&lt;/Name&gt;&lt;/Member&gt;&lt;Member Code="50_54" HasMetadata="false" HasOnlyUnitMetadata="false" HasChild="0"&gt;&lt;Name LocaleIsoCode="en"&gt;50 to 54&lt;/Name&gt;&lt;Name LocaleIsoCode="fr"&gt;50 à 54 ans&lt;/Name&gt;&lt;/Member&gt;&lt;Member Code="55_59" HasMetadata="false" HasOnlyUnitMetadata="false" HasChild="0"&gt;&lt;Name LocaleIsoCode="en"&gt;55 to 59&lt;/Name&gt;&lt;Name LocaleIsoCode="fr"&gt;55 à 59 ans&lt;/Name&gt;&lt;/Member&gt;&lt;Member Code="60_64" HasMetadata="false" HasOnlyUnitMetadata="false" HasChild="0"&gt;&lt;Name LocaleIsoCode="en"&gt;60 to 64&lt;/Name&gt;&lt;Name LocaleIsoCode="fr"&gt;60 à 64 ans&lt;/Name&gt;&lt;/Member&gt;&lt;Member Code="65_69" HasMetadata="false" HasOnlyUnitMetadata="false" HasChild="0"&gt;&lt;Name LocaleIsoCode="en"&gt;65 to 69&lt;/Name&gt;&lt;Name LocaleIsoCode="fr"&gt;65 à 69 ans&lt;/Name&gt;&lt;/Member&gt;&lt;Member Code="70_74" HasMetadata="false" HasOnlyUnitMetadata="false" HasChild="0"&gt;&lt;Name LocaleIsoCode="en"&gt;70 to 74&lt;/Name&gt;&lt;Name LocaleIsoCode="fr"&gt;70 à 74 ans&lt;/Name&gt;&lt;/Member&gt;&lt;Member Code="75_79" HasMetadata="false" HasOnlyUnitMetadata="false" HasChild="0"&gt;&lt;Name LocaleIsoCode="en"&gt;75 to 79&lt;/Name&gt;&lt;Name LocaleIsoCode="fr"&gt;75 à 79 ans&lt;/Name&gt;&lt;/Member&gt;&lt;Member Code="80_84" HasMetadata="false" HasOnlyUnitMetadata="false" HasChild="0"&gt;&lt;Name LocaleIsoCode="en"&gt;80 to 84&lt;/Name&gt;&lt;Name LocaleIsoCode="fr"&gt;80 à 84 ans&lt;/Name&gt;&lt;/Member&gt;&lt;Member Code="85_OVER" HasMetadata="false" HasOnlyUnitMetadata="false" HasChild="0"&gt;&lt;Name LocaleIsoCode="en"&gt;85 and over&lt;/Name&gt;&lt;Name LocaleIsoCode="fr"&gt;85 ans et plus&lt;/Name&gt;&lt;/Member&gt;&lt;Member Code="50_OVER" HasMetadata="false" HasOnlyUnitMetadata="false" HasChild="0"&gt;&lt;Name LocaleIsoCode="en"&gt;50 and over&lt;/Name&gt;&lt;Name LocaleIsoCode="fr"&gt;50 ans et plus&lt;/Name&gt;&lt;/Member&gt;&lt;Member Code="LESS_20" HasMetadata="false" HasOnlyUnitMetadata="false" HasChild="0"&gt;&lt;Name LocaleIsoCode="en"&gt;Under 20&lt;/Name&gt;&lt;Name LocaleIsoCode="fr"&gt;Moins de 20 ans&lt;/Name&gt;&lt;/Member&gt;&lt;Member Code="15-64" HasMetadata="false" HasOnlyUnitMetadata="false" HasChild="0"&gt;&lt;Name LocaleIsoCode="en"&gt;15 to 64&lt;/Name&gt;&lt;Name LocaleIsoCode="fr"&gt;15 à 64 ans&lt;/Name&gt;&lt;/Member&gt;&lt;Member Code="20-64" HasMetadata="false" HasOnlyUnitMetadata="false" HasChild="0"&gt;&lt;Name LocaleIsoCode="en"&gt;20 to 64&lt;/Name&gt;&lt;Name LocaleIsoCode="fr"&gt;20 à 64 ans&lt;/Name&gt;&lt;/Member&gt;&lt;Member Code="65_OVER" HasMetadata="false" HasOnlyUnitMetadata="false" HasChild="0"&gt;&lt;Name LocaleIsoCode="en"&gt;65 and over&lt;/Name&gt;&lt;Name LocaleIsoCode="fr"&gt;65 ans et plus&lt;/Name&gt;&lt;/Member&gt;&lt;Member Code="LESS_15_SHARE" HasMetadata="false" HasOnlyUnitMetadata="false" HasChild="0"&gt;&lt;Name LocaleIsoCode="en"&gt;Share of under 15 - children&lt;/Name&gt;&lt;Name LocaleIsoCode="fr"&gt;Part des moins de 20 ans - enfants&lt;/Name&gt;&lt;/Member&gt;&lt;Member Code="15-24_SHARE" HasMetadata="false" HasOnlyUnitMetadata="false" HasChild="0"&gt;&lt;Name LocaleIsoCode="en"&gt;Share of 15 to 24 - youth&lt;/Name&gt;&lt;Name LocaleIsoCode="fr"&gt;Part des 15 à 24 ans - jeunes&lt;/Name&gt;&lt;/Member&gt;&lt;Member Code="15-64_SHARE" HasMetadata="false" HasOnlyUnitMetadata="false" HasChild="0"&gt;&lt;Name LocaleIsoCode="en"&gt;Share of 15 to 64 - working age&lt;/Name&gt;&lt;Name LocaleIsoCode="fr"&gt;Part des 15 à 64 ans - âge de travailler&lt;/Name&gt;&lt;/Member&gt;&lt;Member Code="65_OVER_SHARE" HasMetadata="false" HasOnlyUnitMetadata="false" HasChild="0"&gt;&lt;Name LocaleIsoCode="en"&gt;Share of 65 and over - elderly&lt;/Name&gt;&lt;Name LocaleIsoCode="fr"&gt;Part des 65 ans et plus - personnes âgées&lt;/Name&gt;&lt;/Member&gt;&lt;Member Code="YD_L20" HasMetadata="false" HasOnlyUnitMetadata="false" HasChild="0"&gt;&lt;Name LocaleIsoCode="en"&gt;Young age dependency ratio (&amp;lt;20/20-64)&lt;/Name&gt;&lt;Name LocaleIsoCode="fr"&gt;Ratio de dépendance des jeunes (&amp;lt;20/20-64)&lt;/Name&gt;&lt;/Member&gt;&lt;Member Code="OAD20-64" HasMetadata="false" HasOnlyUnitMetadata="false" HasChild="0"&gt;&lt;Name LocaleIsoCode="en"&gt;Old age dependency ratio (65 and over/20-64)&lt;/Name&gt;&lt;Name LocaleIsoCode="fr"&gt;Ratio de dépendance des personnes âgés (65 et plus/20-64)&lt;/Name&gt;&lt;/Member&gt;&lt;Member Code="TOTD20-64" HasMetadata="false" HasOnlyUnitMetadata="false" HasChild="0"&gt;&lt;Name LocaleIsoCode="en"&gt;Total dependency ratio ((&amp;lt;20 &amp;amp; 65+) / 20-64)&lt;/Name&gt;&lt;Name LocaleIsoCode="fr"&gt;Ratio de dépendance total  ((&amp;lt;20 &amp;amp; 65+) / 20-64)&lt;/Name&gt;&lt;/Member&gt;&lt;/Dimension&gt;&lt;WBOSInformations&gt;&lt;TimeDimension WebTreeWasUsed="false"&gt;&lt;StartCodes Annual="1950" /&gt;&lt;/TimeDimension&gt;&lt;/WBOSInformations&gt;&lt;Tabulation Axis="horizontal"&gt;&lt;Dimension Code="TIME" /&gt;&lt;/Tabulation&gt;&lt;Tabulation Axis="vertical"&gt;&lt;Dimension Code="AGE" /&gt;&lt;/Tabulation&gt;&lt;Tabulation Axis="page"&gt;&lt;Dimension Code="SEX" /&gt;&lt;Dimension Code="LOCATION" /&gt;&lt;/Tabulation&gt;&lt;Formatting&gt;&lt;Labels LocaleIsoCode="en" /&gt;&lt;Power&gt;0&lt;/Power&gt;&lt;Decimals&gt;1&lt;/Decimals&gt;&lt;SkipEmptyLines&gt;true&lt;/SkipEmptyLines&gt;&lt;SkipEmptyCols&gt;fals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</si>
  <si>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Dataset: Historical population</t>
  </si>
  <si>
    <t>Sex</t>
  </si>
  <si>
    <t>Total</t>
  </si>
  <si>
    <t>Country</t>
  </si>
  <si>
    <t>United States</t>
  </si>
  <si>
    <t>Time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</si>
  <si>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</si>
  <si>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</si>
  <si>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</si>
  <si>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</si>
  <si>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</si>
  <si>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</si>
  <si>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</si>
  <si>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</si>
  <si>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</si>
  <si>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</si>
  <si>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</si>
  <si>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</si>
  <si>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</si>
  <si>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</si>
  <si>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</si>
  <si>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</si>
  <si>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</si>
  <si>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</si>
  <si>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</si>
  <si>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</si>
  <si>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</si>
  <si>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</si>
  <si>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</si>
  <si>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</si>
  <si>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</si>
  <si>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</si>
  <si>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</si>
  <si>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</si>
  <si>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</si>
  <si>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</si>
  <si>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</si>
  <si>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</si>
  <si>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</si>
  <si>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</si>
  <si>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</si>
  <si>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</si>
  <si>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</si>
  <si>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</si>
  <si>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</si>
  <si>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</si>
  <si>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</si>
  <si>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</si>
  <si>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</si>
  <si>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</si>
  <si>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</si>
  <si>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</si>
  <si>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</si>
  <si>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</si>
  <si>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</si>
  <si>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</si>
  <si>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</si>
  <si>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</si>
  <si>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</si>
  <si>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</si>
  <si>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</si>
  <si>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</si>
  <si>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</si>
  <si>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</si>
  <si>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</si>
  <si>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</si>
  <si>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</si>
  <si>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</si>
  <si>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</si>
  <si>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</si>
  <si>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</si>
  <si>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</si>
  <si>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</si>
  <si>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</si>
  <si>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</si>
  <si>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</si>
  <si>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</si>
  <si>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</si>
  <si>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</si>
  <si>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Age</t>
  </si>
  <si>
    <t/>
  </si>
  <si>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</si>
  <si>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</si>
  <si>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</si>
  <si>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</si>
  <si>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</si>
  <si>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</si>
  <si>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</si>
  <si>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</si>
  <si>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</si>
  <si>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</si>
  <si>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</si>
  <si>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</si>
  <si>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</si>
  <si>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</si>
  <si>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</si>
  <si>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</si>
  <si>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</si>
  <si>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and over</t>
  </si>
  <si>
    <t>50 and over</t>
  </si>
  <si>
    <t>Under 20</t>
  </si>
  <si>
    <t>15 to 64</t>
  </si>
  <si>
    <t>20 to 64</t>
  </si>
  <si>
    <t>65 and over</t>
  </si>
  <si>
    <t>Share of under 15 - children</t>
  </si>
  <si>
    <t>Share of 15 to 24 - youth</t>
  </si>
  <si>
    <t>Share of 15 to 64 - working age</t>
  </si>
  <si>
    <t>Share of 65 and over - elderly</t>
  </si>
  <si>
    <t>Young age dependency ratio (&lt;20/20-64)</t>
  </si>
  <si>
    <t>Old age dependency ratio (65 and over/20-64)</t>
  </si>
  <si>
    <t>Total dependency ratio ((&lt;20 &amp; 65+) / 20-64)</t>
  </si>
  <si>
    <t>Data extracted on 15 May 2024 09:40 UTC (GMT) from OECD.Stat</t>
  </si>
  <si>
    <t>Year</t>
  </si>
  <si>
    <t>Population</t>
  </si>
  <si>
    <t>Change</t>
  </si>
  <si>
    <t>% Change</t>
  </si>
  <si>
    <t>https://demographia.com/db-uspop1900.htm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</si>
</sst>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\-#,##0.0\ "/>
  </numFmts>
  <fonts count="11" x14ac:knownFonts="1">
    <font>
      <sz val="10"/>
      <name val="Arial"/>
      <charset val="134"/>
    </font>
    <font>
      <sz val="8"/>
      <name val="Arial"/>
      <family val="2"/>
      <charset val="134"/>
    </font>
    <font>
      <b/>
      <u/>
      <sz val="9"/>
      <color rgb="FF000080"/>
      <name val="Verdana"/>
      <family val="2"/>
      <charset val="134"/>
    </font>
    <font>
      <b/>
      <sz val="8"/>
      <color rgb="FFFFFFFF"/>
      <name val="Verdana"/>
      <family val="2"/>
      <charset val="134"/>
    </font>
    <font>
      <sz val="8"/>
      <color rgb="FFFFFFFF"/>
      <name val="Verdana"/>
      <family val="2"/>
      <charset val="134"/>
    </font>
    <font>
      <b/>
      <sz val="8"/>
      <name val="Verdana"/>
      <family val="2"/>
      <charset val="134"/>
    </font>
    <font>
      <b/>
      <sz val="9"/>
      <color rgb="FFFF0000"/>
      <name val="Courier New"/>
      <family val="3"/>
      <charset val="134"/>
    </font>
    <font>
      <sz val="8"/>
      <name val="Verdana"/>
      <family val="2"/>
      <charset val="134"/>
    </font>
    <font>
      <u/>
      <sz val="8"/>
      <name val="Verdana"/>
      <family val="2"/>
      <charset val="134"/>
    </font>
    <font>
      <sz val="9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vertical="top" wrapText="1"/>
    </xf>
    <xf numFmtId="176" fontId="1" fillId="0" borderId="1" xfId="0" applyNumberFormat="1" applyFont="1" applyBorder="1" applyAlignment="1">
      <alignment horizontal="right"/>
    </xf>
    <xf numFmtId="176" fontId="1" fillId="6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left"/>
    </xf>
    <xf numFmtId="0" fontId="3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right" vertical="center" wrapText="1"/>
    </xf>
    <xf numFmtId="0" fontId="10" fillId="0" borderId="0" xfId="0" applyFont="1"/>
    <xf numFmtId="3" fontId="10" fillId="0" borderId="0" xfId="0" applyNumberFormat="1" applyFont="1"/>
    <xf numFmtId="10" fontId="10" fillId="0" borderId="0" xfId="0" applyNumberFormat="1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s-3.oecd.org/index.aspx?DatasetCode=HISTPOP" TargetMode="External"/><Relationship Id="rId1" Type="http://schemas.openxmlformats.org/officeDocument/2006/relationships/hyperlink" Target="http://localhost/OECDStat_Metadata/ShowMetadata.ashx?Dataset=HISTPOP&amp;ShowOnWeb=true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8"/>
  <sheetViews>
    <sheetView showGridLines="0" topLeftCell="A2" workbookViewId="0">
      <selection activeCell="C11" sqref="C11"/>
    </sheetView>
  </sheetViews>
  <sheetFormatPr baseColWidth="10" defaultColWidth="9.1640625" defaultRowHeight="13" x14ac:dyDescent="0.15"/>
  <cols>
    <col min="1" max="1" width="25.6640625" customWidth="1"/>
    <col min="2" max="2" width="2.33203125" customWidth="1"/>
    <col min="3" max="75" width="11" customWidth="1"/>
    <col min="76" max="76" width="9.6640625" bestFit="1" customWidth="1"/>
    <col min="77" max="77" width="13" bestFit="1" customWidth="1"/>
  </cols>
  <sheetData>
    <row r="1" spans="1:76" hidden="1" x14ac:dyDescent="0.15">
      <c r="A1" s="1" t="e">
        <f ca="1">DotStatQuery(B1)</f>
        <v>#NAME?</v>
      </c>
      <c r="B1" s="1" t="s">
        <v>0</v>
      </c>
    </row>
    <row r="2" spans="1:76" x14ac:dyDescent="0.15">
      <c r="A2" s="2" t="s">
        <v>1</v>
      </c>
    </row>
    <row r="3" spans="1:76" x14ac:dyDescent="0.15">
      <c r="A3" s="10" t="s">
        <v>2</v>
      </c>
      <c r="B3" s="10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spans="1:76" x14ac:dyDescent="0.15">
      <c r="A4" s="10" t="s">
        <v>4</v>
      </c>
      <c r="B4" s="10"/>
      <c r="C4" s="11" t="s">
        <v>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</row>
    <row r="5" spans="1:76" x14ac:dyDescent="0.15">
      <c r="A5" s="12" t="s">
        <v>6</v>
      </c>
      <c r="B5" s="12"/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31</v>
      </c>
      <c r="AB5" s="3" t="s">
        <v>32</v>
      </c>
      <c r="AC5" s="3" t="s">
        <v>33</v>
      </c>
      <c r="AD5" s="3" t="s">
        <v>34</v>
      </c>
      <c r="AE5" s="3" t="s">
        <v>35</v>
      </c>
      <c r="AF5" s="3" t="s">
        <v>36</v>
      </c>
      <c r="AG5" s="3" t="s">
        <v>37</v>
      </c>
      <c r="AH5" s="3" t="s">
        <v>38</v>
      </c>
      <c r="AI5" s="3" t="s">
        <v>39</v>
      </c>
      <c r="AJ5" s="3" t="s">
        <v>40</v>
      </c>
      <c r="AK5" s="3" t="s">
        <v>41</v>
      </c>
      <c r="AL5" s="3" t="s">
        <v>42</v>
      </c>
      <c r="AM5" s="3" t="s">
        <v>43</v>
      </c>
      <c r="AN5" s="3" t="s">
        <v>44</v>
      </c>
      <c r="AO5" s="3" t="s">
        <v>45</v>
      </c>
      <c r="AP5" s="3" t="s">
        <v>46</v>
      </c>
      <c r="AQ5" s="3" t="s">
        <v>47</v>
      </c>
      <c r="AR5" s="3" t="s">
        <v>48</v>
      </c>
      <c r="AS5" s="3" t="s">
        <v>49</v>
      </c>
      <c r="AT5" s="3" t="s">
        <v>50</v>
      </c>
      <c r="AU5" s="3" t="s">
        <v>51</v>
      </c>
      <c r="AV5" s="3" t="s">
        <v>52</v>
      </c>
      <c r="AW5" s="3" t="s">
        <v>53</v>
      </c>
      <c r="AX5" s="3" t="s">
        <v>54</v>
      </c>
      <c r="AY5" s="3" t="s">
        <v>55</v>
      </c>
      <c r="AZ5" s="3" t="s">
        <v>56</v>
      </c>
      <c r="BA5" s="3" t="s">
        <v>57</v>
      </c>
      <c r="BB5" s="3" t="s">
        <v>58</v>
      </c>
      <c r="BC5" s="3" t="s">
        <v>59</v>
      </c>
      <c r="BD5" s="3" t="s">
        <v>60</v>
      </c>
      <c r="BE5" s="3" t="s">
        <v>61</v>
      </c>
      <c r="BF5" s="3" t="s">
        <v>62</v>
      </c>
      <c r="BG5" s="3" t="s">
        <v>63</v>
      </c>
      <c r="BH5" s="3" t="s">
        <v>64</v>
      </c>
      <c r="BI5" s="3" t="s">
        <v>65</v>
      </c>
      <c r="BJ5" s="3" t="s">
        <v>66</v>
      </c>
      <c r="BK5" s="3" t="s">
        <v>67</v>
      </c>
      <c r="BL5" s="3" t="s">
        <v>68</v>
      </c>
      <c r="BM5" s="3" t="s">
        <v>69</v>
      </c>
      <c r="BN5" s="3" t="s">
        <v>70</v>
      </c>
      <c r="BO5" s="3" t="s">
        <v>71</v>
      </c>
      <c r="BP5" s="3" t="s">
        <v>72</v>
      </c>
      <c r="BQ5" s="3" t="s">
        <v>73</v>
      </c>
      <c r="BR5" s="3" t="s">
        <v>74</v>
      </c>
      <c r="BS5" s="3" t="s">
        <v>75</v>
      </c>
      <c r="BT5" s="3" t="s">
        <v>76</v>
      </c>
      <c r="BU5" s="3" t="s">
        <v>77</v>
      </c>
      <c r="BV5" s="3" t="s">
        <v>78</v>
      </c>
      <c r="BW5" s="3" t="s">
        <v>79</v>
      </c>
      <c r="BX5" s="3">
        <v>2023</v>
      </c>
    </row>
    <row r="6" spans="1:76" ht="14" x14ac:dyDescent="0.2">
      <c r="A6" s="4" t="s">
        <v>80</v>
      </c>
      <c r="B6" s="5" t="s">
        <v>81</v>
      </c>
      <c r="C6" s="5" t="s">
        <v>81</v>
      </c>
      <c r="D6" s="5" t="s">
        <v>81</v>
      </c>
      <c r="E6" s="5" t="s">
        <v>81</v>
      </c>
      <c r="F6" s="5" t="s">
        <v>81</v>
      </c>
      <c r="G6" s="5" t="s">
        <v>81</v>
      </c>
      <c r="H6" s="5" t="s">
        <v>81</v>
      </c>
      <c r="I6" s="5" t="s">
        <v>81</v>
      </c>
      <c r="J6" s="5" t="s">
        <v>81</v>
      </c>
      <c r="K6" s="5" t="s">
        <v>81</v>
      </c>
      <c r="L6" s="5" t="s">
        <v>81</v>
      </c>
      <c r="M6" s="5" t="s">
        <v>81</v>
      </c>
      <c r="N6" s="5" t="s">
        <v>81</v>
      </c>
      <c r="O6" s="5" t="s">
        <v>81</v>
      </c>
      <c r="P6" s="5" t="s">
        <v>81</v>
      </c>
      <c r="Q6" s="5" t="s">
        <v>81</v>
      </c>
      <c r="R6" s="5" t="s">
        <v>81</v>
      </c>
      <c r="S6" s="5" t="s">
        <v>81</v>
      </c>
      <c r="T6" s="5" t="s">
        <v>81</v>
      </c>
      <c r="U6" s="5" t="s">
        <v>81</v>
      </c>
      <c r="V6" s="5" t="s">
        <v>81</v>
      </c>
      <c r="W6" s="5" t="s">
        <v>81</v>
      </c>
      <c r="X6" s="5" t="s">
        <v>81</v>
      </c>
      <c r="Y6" s="5" t="s">
        <v>81</v>
      </c>
      <c r="Z6" s="5" t="s">
        <v>81</v>
      </c>
      <c r="AA6" s="5" t="s">
        <v>81</v>
      </c>
      <c r="AB6" s="5" t="s">
        <v>81</v>
      </c>
      <c r="AC6" s="5" t="s">
        <v>81</v>
      </c>
      <c r="AD6" s="5" t="s">
        <v>81</v>
      </c>
      <c r="AE6" s="5" t="s">
        <v>81</v>
      </c>
      <c r="AF6" s="5" t="s">
        <v>81</v>
      </c>
      <c r="AG6" s="5" t="s">
        <v>81</v>
      </c>
      <c r="AH6" s="5" t="s">
        <v>81</v>
      </c>
      <c r="AI6" s="5" t="s">
        <v>81</v>
      </c>
      <c r="AJ6" s="5" t="s">
        <v>81</v>
      </c>
      <c r="AK6" s="5" t="s">
        <v>81</v>
      </c>
      <c r="AL6" s="5" t="s">
        <v>81</v>
      </c>
      <c r="AM6" s="5" t="s">
        <v>81</v>
      </c>
      <c r="AN6" s="5" t="s">
        <v>81</v>
      </c>
      <c r="AO6" s="5" t="s">
        <v>81</v>
      </c>
      <c r="AP6" s="5" t="s">
        <v>81</v>
      </c>
      <c r="AQ6" s="5" t="s">
        <v>81</v>
      </c>
      <c r="AR6" s="5" t="s">
        <v>81</v>
      </c>
      <c r="AS6" s="5" t="s">
        <v>81</v>
      </c>
      <c r="AT6" s="5" t="s">
        <v>81</v>
      </c>
      <c r="AU6" s="5" t="s">
        <v>81</v>
      </c>
      <c r="AV6" s="5" t="s">
        <v>81</v>
      </c>
      <c r="AW6" s="5" t="s">
        <v>81</v>
      </c>
      <c r="AX6" s="5" t="s">
        <v>81</v>
      </c>
      <c r="AY6" s="5" t="s">
        <v>81</v>
      </c>
      <c r="AZ6" s="5" t="s">
        <v>81</v>
      </c>
      <c r="BA6" s="5" t="s">
        <v>81</v>
      </c>
      <c r="BB6" s="5" t="s">
        <v>81</v>
      </c>
      <c r="BC6" s="5" t="s">
        <v>81</v>
      </c>
      <c r="BD6" s="5" t="s">
        <v>81</v>
      </c>
      <c r="BE6" s="5" t="s">
        <v>81</v>
      </c>
      <c r="BF6" s="5" t="s">
        <v>81</v>
      </c>
      <c r="BG6" s="5" t="s">
        <v>81</v>
      </c>
      <c r="BH6" s="5" t="s">
        <v>81</v>
      </c>
      <c r="BI6" s="5" t="s">
        <v>81</v>
      </c>
      <c r="BJ6" s="5" t="s">
        <v>81</v>
      </c>
      <c r="BK6" s="5" t="s">
        <v>81</v>
      </c>
      <c r="BL6" s="5" t="s">
        <v>81</v>
      </c>
      <c r="BM6" s="5" t="s">
        <v>81</v>
      </c>
      <c r="BN6" s="5" t="s">
        <v>81</v>
      </c>
      <c r="BO6" s="5" t="s">
        <v>81</v>
      </c>
      <c r="BP6" s="5" t="s">
        <v>81</v>
      </c>
      <c r="BQ6" s="5" t="s">
        <v>81</v>
      </c>
      <c r="BR6" s="5" t="s">
        <v>81</v>
      </c>
      <c r="BS6" s="5" t="s">
        <v>81</v>
      </c>
      <c r="BT6" s="5" t="s">
        <v>81</v>
      </c>
      <c r="BU6" s="5" t="s">
        <v>81</v>
      </c>
      <c r="BV6" s="5" t="s">
        <v>81</v>
      </c>
      <c r="BW6" s="5" t="s">
        <v>81</v>
      </c>
      <c r="BX6" s="5" t="s">
        <v>81</v>
      </c>
    </row>
    <row r="7" spans="1:76" ht="14" x14ac:dyDescent="0.2">
      <c r="A7" s="6" t="s">
        <v>3</v>
      </c>
      <c r="B7" s="5" t="s">
        <v>81</v>
      </c>
      <c r="C7" s="7">
        <v>152271417</v>
      </c>
      <c r="D7" s="7">
        <v>154877889</v>
      </c>
      <c r="E7" s="7">
        <v>157552740</v>
      </c>
      <c r="F7" s="7">
        <v>160184192</v>
      </c>
      <c r="G7" s="7">
        <v>163025854</v>
      </c>
      <c r="H7" s="7">
        <v>165931202</v>
      </c>
      <c r="I7" s="7">
        <v>168903031</v>
      </c>
      <c r="J7" s="7">
        <v>171984130</v>
      </c>
      <c r="K7" s="7">
        <v>174881904</v>
      </c>
      <c r="L7" s="7">
        <v>177829628</v>
      </c>
      <c r="M7" s="7">
        <v>180671158</v>
      </c>
      <c r="N7" s="7">
        <v>183691481</v>
      </c>
      <c r="O7" s="7">
        <v>186537737</v>
      </c>
      <c r="P7" s="7">
        <v>189241798</v>
      </c>
      <c r="Q7" s="7">
        <v>191888791</v>
      </c>
      <c r="R7" s="7">
        <v>194302963</v>
      </c>
      <c r="S7" s="7">
        <v>196560338</v>
      </c>
      <c r="T7" s="7">
        <v>198712056</v>
      </c>
      <c r="U7" s="7">
        <v>200706052</v>
      </c>
      <c r="V7" s="7">
        <v>202676946</v>
      </c>
      <c r="W7" s="7">
        <v>205052174</v>
      </c>
      <c r="X7" s="7">
        <v>207660677</v>
      </c>
      <c r="Y7" s="7">
        <v>209896021</v>
      </c>
      <c r="Z7" s="7">
        <v>211908788</v>
      </c>
      <c r="AA7" s="7">
        <v>213853928</v>
      </c>
      <c r="AB7" s="7">
        <v>215973199</v>
      </c>
      <c r="AC7" s="7">
        <v>218035164</v>
      </c>
      <c r="AD7" s="7">
        <v>220239425</v>
      </c>
      <c r="AE7" s="7">
        <v>222584545</v>
      </c>
      <c r="AF7" s="7">
        <v>225055487</v>
      </c>
      <c r="AG7" s="7">
        <v>227224681</v>
      </c>
      <c r="AH7" s="7">
        <v>229465714</v>
      </c>
      <c r="AI7" s="7">
        <v>231664458</v>
      </c>
      <c r="AJ7" s="7">
        <v>233791994</v>
      </c>
      <c r="AK7" s="7">
        <v>235824902</v>
      </c>
      <c r="AL7" s="7">
        <v>237923795</v>
      </c>
      <c r="AM7" s="7">
        <v>240132887</v>
      </c>
      <c r="AN7" s="7">
        <v>242288918</v>
      </c>
      <c r="AO7" s="7">
        <v>244498982</v>
      </c>
      <c r="AP7" s="7">
        <v>246819230</v>
      </c>
      <c r="AQ7" s="7">
        <v>249622814</v>
      </c>
      <c r="AR7" s="7">
        <v>252980941</v>
      </c>
      <c r="AS7" s="7">
        <v>256514224</v>
      </c>
      <c r="AT7" s="7">
        <v>259918588</v>
      </c>
      <c r="AU7" s="7">
        <v>263125821</v>
      </c>
      <c r="AV7" s="7">
        <v>266278393</v>
      </c>
      <c r="AW7" s="7">
        <v>269394284</v>
      </c>
      <c r="AX7" s="7">
        <v>272646925</v>
      </c>
      <c r="AY7" s="7">
        <v>275854104</v>
      </c>
      <c r="AZ7" s="7">
        <v>279040168</v>
      </c>
      <c r="BA7" s="7">
        <v>282162411</v>
      </c>
      <c r="BB7" s="7">
        <v>284968955</v>
      </c>
      <c r="BC7" s="7">
        <v>287625193</v>
      </c>
      <c r="BD7" s="7">
        <v>290107933</v>
      </c>
      <c r="BE7" s="7">
        <v>292805298</v>
      </c>
      <c r="BF7" s="7">
        <v>295516599</v>
      </c>
      <c r="BG7" s="7">
        <v>298379912</v>
      </c>
      <c r="BH7" s="7">
        <v>301231207</v>
      </c>
      <c r="BI7" s="7">
        <v>304093966</v>
      </c>
      <c r="BJ7" s="7">
        <v>306771529</v>
      </c>
      <c r="BK7" s="7">
        <v>309327143</v>
      </c>
      <c r="BL7" s="7">
        <v>311583481</v>
      </c>
      <c r="BM7" s="7">
        <v>313877662</v>
      </c>
      <c r="BN7" s="7">
        <v>316059947</v>
      </c>
      <c r="BO7" s="7">
        <v>318386329</v>
      </c>
      <c r="BP7" s="7">
        <v>320738994</v>
      </c>
      <c r="BQ7" s="7">
        <v>323071755</v>
      </c>
      <c r="BR7" s="7">
        <v>325122128</v>
      </c>
      <c r="BS7" s="7">
        <v>326838199</v>
      </c>
      <c r="BT7" s="7">
        <v>328329953</v>
      </c>
      <c r="BU7" s="7">
        <v>331511512</v>
      </c>
      <c r="BV7" s="7">
        <v>332031554</v>
      </c>
      <c r="BW7" s="7">
        <v>333287557</v>
      </c>
      <c r="BX7" s="7">
        <v>334987557</v>
      </c>
    </row>
    <row r="8" spans="1:76" ht="14" x14ac:dyDescent="0.2">
      <c r="A8" s="6" t="s">
        <v>82</v>
      </c>
      <c r="B8" s="5" t="s">
        <v>81</v>
      </c>
      <c r="C8" s="8">
        <v>16409955</v>
      </c>
      <c r="D8" s="8">
        <v>17333447</v>
      </c>
      <c r="E8" s="8">
        <v>17312258</v>
      </c>
      <c r="F8" s="8">
        <v>17638336</v>
      </c>
      <c r="G8" s="8">
        <v>18057457</v>
      </c>
      <c r="H8" s="8">
        <v>18566313</v>
      </c>
      <c r="I8" s="8">
        <v>19003397</v>
      </c>
      <c r="J8" s="8">
        <v>19493808</v>
      </c>
      <c r="K8" s="8">
        <v>19886602</v>
      </c>
      <c r="L8" s="8">
        <v>20175118</v>
      </c>
      <c r="M8" s="8">
        <v>20341249</v>
      </c>
      <c r="N8" s="8">
        <v>20522270</v>
      </c>
      <c r="O8" s="8">
        <v>20468793</v>
      </c>
      <c r="P8" s="8">
        <v>20341531</v>
      </c>
      <c r="Q8" s="8">
        <v>20164865</v>
      </c>
      <c r="R8" s="8">
        <v>19823841</v>
      </c>
      <c r="S8" s="8">
        <v>19207974</v>
      </c>
      <c r="T8" s="8">
        <v>18562509</v>
      </c>
      <c r="U8" s="8">
        <v>17913415</v>
      </c>
      <c r="V8" s="8">
        <v>17375513</v>
      </c>
      <c r="W8" s="8">
        <v>17166191</v>
      </c>
      <c r="X8" s="8">
        <v>17243968</v>
      </c>
      <c r="Y8" s="8">
        <v>17101353</v>
      </c>
      <c r="Z8" s="8">
        <v>16850846</v>
      </c>
      <c r="AA8" s="8">
        <v>16486729</v>
      </c>
      <c r="AB8" s="8">
        <v>16121483</v>
      </c>
      <c r="AC8" s="8">
        <v>15617115</v>
      </c>
      <c r="AD8" s="8">
        <v>15563659</v>
      </c>
      <c r="AE8" s="8">
        <v>15735004</v>
      </c>
      <c r="AF8" s="8">
        <v>16062882</v>
      </c>
      <c r="AG8" s="8">
        <v>16451184</v>
      </c>
      <c r="AH8" s="8">
        <v>16892719</v>
      </c>
      <c r="AI8" s="8">
        <v>17227829</v>
      </c>
      <c r="AJ8" s="8">
        <v>17546883</v>
      </c>
      <c r="AK8" s="8">
        <v>17694905</v>
      </c>
      <c r="AL8" s="8">
        <v>17841621</v>
      </c>
      <c r="AM8" s="8">
        <v>17962501</v>
      </c>
      <c r="AN8" s="8">
        <v>18052205</v>
      </c>
      <c r="AO8" s="8">
        <v>18195420</v>
      </c>
      <c r="AP8" s="8">
        <v>18508058</v>
      </c>
      <c r="AQ8" s="8">
        <v>18856447</v>
      </c>
      <c r="AR8" s="8">
        <v>19208046</v>
      </c>
      <c r="AS8" s="8">
        <v>19528041</v>
      </c>
      <c r="AT8" s="8">
        <v>19729275</v>
      </c>
      <c r="AU8" s="8">
        <v>19776862</v>
      </c>
      <c r="AV8" s="8">
        <v>19626505</v>
      </c>
      <c r="AW8" s="8">
        <v>19408272</v>
      </c>
      <c r="AX8" s="8">
        <v>19232671</v>
      </c>
      <c r="AY8" s="8">
        <v>19144923</v>
      </c>
      <c r="AZ8" s="8">
        <v>19135544</v>
      </c>
      <c r="BA8" s="8">
        <v>19178293</v>
      </c>
      <c r="BB8" s="8">
        <v>19298217</v>
      </c>
      <c r="BC8" s="8">
        <v>19429192</v>
      </c>
      <c r="BD8" s="8">
        <v>19592446</v>
      </c>
      <c r="BE8" s="8">
        <v>19785885</v>
      </c>
      <c r="BF8" s="8">
        <v>19917400</v>
      </c>
      <c r="BG8" s="8">
        <v>19938883</v>
      </c>
      <c r="BH8" s="8">
        <v>20125962</v>
      </c>
      <c r="BI8" s="8">
        <v>20271127</v>
      </c>
      <c r="BJ8" s="8">
        <v>20244518</v>
      </c>
      <c r="BK8" s="8">
        <v>20189578</v>
      </c>
      <c r="BL8" s="8">
        <v>20126211</v>
      </c>
      <c r="BM8" s="8">
        <v>19980936</v>
      </c>
      <c r="BN8" s="8">
        <v>19855184</v>
      </c>
      <c r="BO8" s="8">
        <v>19878806</v>
      </c>
      <c r="BP8" s="8">
        <v>19924706</v>
      </c>
      <c r="BQ8" s="8">
        <v>19936737</v>
      </c>
      <c r="BR8" s="8">
        <v>19895016</v>
      </c>
      <c r="BS8" s="8">
        <v>19778527</v>
      </c>
      <c r="BT8" s="8">
        <v>19571339</v>
      </c>
      <c r="BU8" s="8">
        <v>19070030</v>
      </c>
      <c r="BV8" s="8">
        <v>18676229</v>
      </c>
      <c r="BW8" s="8">
        <v>18538353</v>
      </c>
      <c r="BX8" s="8">
        <v>18538353</v>
      </c>
    </row>
    <row r="9" spans="1:76" ht="14" x14ac:dyDescent="0.2">
      <c r="A9" s="6" t="s">
        <v>83</v>
      </c>
      <c r="B9" s="5" t="s">
        <v>81</v>
      </c>
      <c r="C9" s="7">
        <v>13374537</v>
      </c>
      <c r="D9" s="7">
        <v>13667630</v>
      </c>
      <c r="E9" s="7">
        <v>14810804</v>
      </c>
      <c r="F9" s="7">
        <v>15332413</v>
      </c>
      <c r="G9" s="7">
        <v>16031707</v>
      </c>
      <c r="H9" s="7">
        <v>16748917</v>
      </c>
      <c r="I9" s="7">
        <v>17652183</v>
      </c>
      <c r="J9" s="7">
        <v>17624418</v>
      </c>
      <c r="K9" s="7">
        <v>17940912</v>
      </c>
      <c r="L9" s="7">
        <v>18344095</v>
      </c>
      <c r="M9" s="7">
        <v>18810017</v>
      </c>
      <c r="N9" s="7">
        <v>19195946</v>
      </c>
      <c r="O9" s="7">
        <v>19641124</v>
      </c>
      <c r="P9" s="7">
        <v>19995900</v>
      </c>
      <c r="Q9" s="7">
        <v>20235872</v>
      </c>
      <c r="R9" s="7">
        <v>20377572</v>
      </c>
      <c r="S9" s="7">
        <v>20573496</v>
      </c>
      <c r="T9" s="7">
        <v>20533100</v>
      </c>
      <c r="U9" s="7">
        <v>20414346</v>
      </c>
      <c r="V9" s="7">
        <v>20242725</v>
      </c>
      <c r="W9" s="7">
        <v>19919437</v>
      </c>
      <c r="X9" s="7">
        <v>19395287</v>
      </c>
      <c r="Y9" s="7">
        <v>18846825</v>
      </c>
      <c r="Z9" s="7">
        <v>18278834</v>
      </c>
      <c r="AA9" s="7">
        <v>17805201</v>
      </c>
      <c r="AB9" s="7">
        <v>17594132</v>
      </c>
      <c r="AC9" s="7">
        <v>17671273</v>
      </c>
      <c r="AD9" s="7">
        <v>17529735</v>
      </c>
      <c r="AE9" s="7">
        <v>17300027</v>
      </c>
      <c r="AF9" s="7">
        <v>16946625</v>
      </c>
      <c r="AG9" s="7">
        <v>16602353</v>
      </c>
      <c r="AH9" s="7">
        <v>16060121</v>
      </c>
      <c r="AI9" s="7">
        <v>15957945</v>
      </c>
      <c r="AJ9" s="7">
        <v>16053251</v>
      </c>
      <c r="AK9" s="7">
        <v>16337925</v>
      </c>
      <c r="AL9" s="7">
        <v>16664857</v>
      </c>
      <c r="AM9" s="7">
        <v>17098398</v>
      </c>
      <c r="AN9" s="7">
        <v>17430258</v>
      </c>
      <c r="AO9" s="7">
        <v>17759302</v>
      </c>
      <c r="AP9" s="7">
        <v>17916793</v>
      </c>
      <c r="AQ9" s="7">
        <v>18076746</v>
      </c>
      <c r="AR9" s="7">
        <v>18281130</v>
      </c>
      <c r="AS9" s="7">
        <v>18431104</v>
      </c>
      <c r="AT9" s="7">
        <v>18645956</v>
      </c>
      <c r="AU9" s="7">
        <v>19024679</v>
      </c>
      <c r="AV9" s="7">
        <v>19438171</v>
      </c>
      <c r="AW9" s="7">
        <v>19860530</v>
      </c>
      <c r="AX9" s="7">
        <v>20254032</v>
      </c>
      <c r="AY9" s="7">
        <v>20510328</v>
      </c>
      <c r="AZ9" s="7">
        <v>20606460</v>
      </c>
      <c r="BA9" s="7">
        <v>20463852</v>
      </c>
      <c r="BB9" s="7">
        <v>20173362</v>
      </c>
      <c r="BC9" s="7">
        <v>19872417</v>
      </c>
      <c r="BD9" s="7">
        <v>19620851</v>
      </c>
      <c r="BE9" s="7">
        <v>19454237</v>
      </c>
      <c r="BF9" s="7">
        <v>19389067</v>
      </c>
      <c r="BG9" s="7">
        <v>19544688</v>
      </c>
      <c r="BH9" s="7">
        <v>19714611</v>
      </c>
      <c r="BI9" s="7">
        <v>19929602</v>
      </c>
      <c r="BJ9" s="7">
        <v>20182499</v>
      </c>
      <c r="BK9" s="7">
        <v>20331821</v>
      </c>
      <c r="BL9" s="7">
        <v>20335489</v>
      </c>
      <c r="BM9" s="7">
        <v>20472679</v>
      </c>
      <c r="BN9" s="7">
        <v>20575591</v>
      </c>
      <c r="BO9" s="7">
        <v>20526270</v>
      </c>
      <c r="BP9" s="7">
        <v>20490819</v>
      </c>
      <c r="BQ9" s="7">
        <v>20450557</v>
      </c>
      <c r="BR9" s="7">
        <v>20330306</v>
      </c>
      <c r="BS9" s="7">
        <v>20212958</v>
      </c>
      <c r="BT9" s="7">
        <v>20221753</v>
      </c>
      <c r="BU9" s="7">
        <v>20091670</v>
      </c>
      <c r="BV9" s="7">
        <v>20055700</v>
      </c>
      <c r="BW9" s="7">
        <v>20009195</v>
      </c>
      <c r="BX9" s="7">
        <v>20009195</v>
      </c>
    </row>
    <row r="10" spans="1:76" ht="14" x14ac:dyDescent="0.2">
      <c r="A10" s="6" t="s">
        <v>84</v>
      </c>
      <c r="B10" s="5" t="s">
        <v>81</v>
      </c>
      <c r="C10" s="8">
        <v>11212659</v>
      </c>
      <c r="D10" s="8">
        <v>11499983</v>
      </c>
      <c r="E10" s="8">
        <v>11962333</v>
      </c>
      <c r="F10" s="8">
        <v>12671001</v>
      </c>
      <c r="G10" s="8">
        <v>13190678</v>
      </c>
      <c r="H10" s="8">
        <v>13637838</v>
      </c>
      <c r="I10" s="8">
        <v>13917539</v>
      </c>
      <c r="J10" s="8">
        <v>15045275</v>
      </c>
      <c r="K10" s="8">
        <v>15545886</v>
      </c>
      <c r="L10" s="8">
        <v>16220010</v>
      </c>
      <c r="M10" s="8">
        <v>16925481</v>
      </c>
      <c r="N10" s="8">
        <v>17835463</v>
      </c>
      <c r="O10" s="8">
        <v>17793934</v>
      </c>
      <c r="P10" s="8">
        <v>18127789</v>
      </c>
      <c r="Q10" s="8">
        <v>18546960</v>
      </c>
      <c r="R10" s="8">
        <v>19048875</v>
      </c>
      <c r="S10" s="8">
        <v>19477689</v>
      </c>
      <c r="T10" s="8">
        <v>19962834</v>
      </c>
      <c r="U10" s="8">
        <v>20357244</v>
      </c>
      <c r="V10" s="8">
        <v>20641025</v>
      </c>
      <c r="W10" s="8">
        <v>20852843</v>
      </c>
      <c r="X10" s="8">
        <v>21095181</v>
      </c>
      <c r="Y10" s="8">
        <v>21098690</v>
      </c>
      <c r="Z10" s="8">
        <v>21029600</v>
      </c>
      <c r="AA10" s="8">
        <v>20910552</v>
      </c>
      <c r="AB10" s="8">
        <v>20645886</v>
      </c>
      <c r="AC10" s="8">
        <v>20087589</v>
      </c>
      <c r="AD10" s="8">
        <v>19503932</v>
      </c>
      <c r="AE10" s="8">
        <v>18919562</v>
      </c>
      <c r="AF10" s="8">
        <v>18445149</v>
      </c>
      <c r="AG10" s="8">
        <v>18236335</v>
      </c>
      <c r="AH10" s="8">
        <v>18300407</v>
      </c>
      <c r="AI10" s="8">
        <v>18144578</v>
      </c>
      <c r="AJ10" s="8">
        <v>17868526</v>
      </c>
      <c r="AK10" s="8">
        <v>17450275</v>
      </c>
      <c r="AL10" s="8">
        <v>17027433</v>
      </c>
      <c r="AM10" s="8">
        <v>16474234</v>
      </c>
      <c r="AN10" s="8">
        <v>16376846</v>
      </c>
      <c r="AO10" s="8">
        <v>16496237</v>
      </c>
      <c r="AP10" s="8">
        <v>16796836</v>
      </c>
      <c r="AQ10" s="8">
        <v>17212887</v>
      </c>
      <c r="AR10" s="8">
        <v>17755955</v>
      </c>
      <c r="AS10" s="8">
        <v>18245763</v>
      </c>
      <c r="AT10" s="8">
        <v>18721403</v>
      </c>
      <c r="AU10" s="8">
        <v>19001286</v>
      </c>
      <c r="AV10" s="8">
        <v>19207049</v>
      </c>
      <c r="AW10" s="8">
        <v>19435109</v>
      </c>
      <c r="AX10" s="8">
        <v>19600697</v>
      </c>
      <c r="AY10" s="8">
        <v>19825181</v>
      </c>
      <c r="AZ10" s="8">
        <v>20213364</v>
      </c>
      <c r="BA10" s="8">
        <v>20637696</v>
      </c>
      <c r="BB10" s="8">
        <v>20978678</v>
      </c>
      <c r="BC10" s="8">
        <v>21261421</v>
      </c>
      <c r="BD10" s="8">
        <v>21415353</v>
      </c>
      <c r="BE10" s="8">
        <v>21411680</v>
      </c>
      <c r="BF10" s="8">
        <v>21212579</v>
      </c>
      <c r="BG10" s="8">
        <v>21033138</v>
      </c>
      <c r="BH10" s="8">
        <v>20841042</v>
      </c>
      <c r="BI10" s="8">
        <v>20706655</v>
      </c>
      <c r="BJ10" s="8">
        <v>20660564</v>
      </c>
      <c r="BK10" s="8">
        <v>20681024</v>
      </c>
      <c r="BL10" s="8">
        <v>20715026</v>
      </c>
      <c r="BM10" s="8">
        <v>20673843</v>
      </c>
      <c r="BN10" s="8">
        <v>20656987</v>
      </c>
      <c r="BO10" s="8">
        <v>20673760</v>
      </c>
      <c r="BP10" s="8">
        <v>20614613</v>
      </c>
      <c r="BQ10" s="8">
        <v>20634000</v>
      </c>
      <c r="BR10" s="8">
        <v>20783456</v>
      </c>
      <c r="BS10" s="8">
        <v>20887842</v>
      </c>
      <c r="BT10" s="8">
        <v>20820053</v>
      </c>
      <c r="BU10" s="8">
        <v>21428623</v>
      </c>
      <c r="BV10" s="8">
        <v>21196508</v>
      </c>
      <c r="BW10" s="8">
        <v>20889839</v>
      </c>
      <c r="BX10" s="8">
        <v>20889839</v>
      </c>
    </row>
    <row r="11" spans="1:76" ht="14" x14ac:dyDescent="0.2">
      <c r="A11" s="6" t="s">
        <v>85</v>
      </c>
      <c r="B11" s="5" t="s">
        <v>81</v>
      </c>
      <c r="C11" s="7">
        <v>10675405</v>
      </c>
      <c r="D11" s="7">
        <v>10557360</v>
      </c>
      <c r="E11" s="7">
        <v>10535179</v>
      </c>
      <c r="F11" s="7">
        <v>10683767</v>
      </c>
      <c r="G11" s="7">
        <v>10894141</v>
      </c>
      <c r="H11" s="7">
        <v>11039170</v>
      </c>
      <c r="I11" s="7">
        <v>11340462</v>
      </c>
      <c r="J11" s="7">
        <v>11798149</v>
      </c>
      <c r="K11" s="7">
        <v>12501223</v>
      </c>
      <c r="L11" s="7">
        <v>13018941</v>
      </c>
      <c r="M11" s="7">
        <v>13442177</v>
      </c>
      <c r="N11" s="7">
        <v>13759149</v>
      </c>
      <c r="O11" s="7">
        <v>14950359</v>
      </c>
      <c r="P11" s="7">
        <v>15509040</v>
      </c>
      <c r="Q11" s="7">
        <v>16250213</v>
      </c>
      <c r="R11" s="7">
        <v>17026731</v>
      </c>
      <c r="S11" s="7">
        <v>17961799</v>
      </c>
      <c r="T11" s="7">
        <v>17947775</v>
      </c>
      <c r="U11" s="7">
        <v>18303342</v>
      </c>
      <c r="V11" s="7">
        <v>18756219</v>
      </c>
      <c r="W11" s="7">
        <v>19333097</v>
      </c>
      <c r="X11" s="7">
        <v>19788508</v>
      </c>
      <c r="Y11" s="7">
        <v>20295914</v>
      </c>
      <c r="Z11" s="7">
        <v>20718843</v>
      </c>
      <c r="AA11" s="7">
        <v>21041598</v>
      </c>
      <c r="AB11" s="7">
        <v>21284826</v>
      </c>
      <c r="AC11" s="7">
        <v>21534141</v>
      </c>
      <c r="AD11" s="7">
        <v>21540319</v>
      </c>
      <c r="AE11" s="7">
        <v>21496126</v>
      </c>
      <c r="AF11" s="7">
        <v>21401910</v>
      </c>
      <c r="AG11" s="7">
        <v>21110940</v>
      </c>
      <c r="AH11" s="7">
        <v>20540557</v>
      </c>
      <c r="AI11" s="7">
        <v>19961684</v>
      </c>
      <c r="AJ11" s="7">
        <v>19387961</v>
      </c>
      <c r="AK11" s="7">
        <v>18930631</v>
      </c>
      <c r="AL11" s="7">
        <v>18727238</v>
      </c>
      <c r="AM11" s="7">
        <v>18812575</v>
      </c>
      <c r="AN11" s="7">
        <v>18698306</v>
      </c>
      <c r="AO11" s="7">
        <v>18496341</v>
      </c>
      <c r="AP11" s="7">
        <v>18133103</v>
      </c>
      <c r="AQ11" s="7">
        <v>17771593</v>
      </c>
      <c r="AR11" s="7">
        <v>17270280</v>
      </c>
      <c r="AS11" s="7">
        <v>17246240</v>
      </c>
      <c r="AT11" s="7">
        <v>17473853</v>
      </c>
      <c r="AU11" s="7">
        <v>17875809</v>
      </c>
      <c r="AV11" s="7">
        <v>18373998</v>
      </c>
      <c r="AW11" s="7">
        <v>18920160</v>
      </c>
      <c r="AX11" s="7">
        <v>19397691</v>
      </c>
      <c r="AY11" s="7">
        <v>19839732</v>
      </c>
      <c r="AZ11" s="7">
        <v>20084602</v>
      </c>
      <c r="BA11" s="7">
        <v>20294955</v>
      </c>
      <c r="BB11" s="7">
        <v>20456284</v>
      </c>
      <c r="BC11" s="7">
        <v>20610370</v>
      </c>
      <c r="BD11" s="7">
        <v>20797166</v>
      </c>
      <c r="BE11" s="7">
        <v>21102552</v>
      </c>
      <c r="BF11" s="7">
        <v>21486214</v>
      </c>
      <c r="BG11" s="7">
        <v>21807709</v>
      </c>
      <c r="BH11" s="7">
        <v>22067816</v>
      </c>
      <c r="BI11" s="7">
        <v>22210880</v>
      </c>
      <c r="BJ11" s="7">
        <v>22192810</v>
      </c>
      <c r="BK11" s="7">
        <v>21981869</v>
      </c>
      <c r="BL11" s="7">
        <v>21661743</v>
      </c>
      <c r="BM11" s="7">
        <v>21374020</v>
      </c>
      <c r="BN11" s="7">
        <v>21183476</v>
      </c>
      <c r="BO11" s="7">
        <v>21060362</v>
      </c>
      <c r="BP11" s="7">
        <v>21090272</v>
      </c>
      <c r="BQ11" s="7">
        <v>21140143</v>
      </c>
      <c r="BR11" s="7">
        <v>21105586</v>
      </c>
      <c r="BS11" s="7">
        <v>21077066</v>
      </c>
      <c r="BT11" s="7">
        <v>21066423</v>
      </c>
      <c r="BU11" s="7">
        <v>21932793</v>
      </c>
      <c r="BV11" s="7">
        <v>21571297</v>
      </c>
      <c r="BW11" s="7">
        <v>21635792</v>
      </c>
      <c r="BX11" s="7">
        <v>21635792</v>
      </c>
    </row>
    <row r="12" spans="1:76" ht="14" x14ac:dyDescent="0.2">
      <c r="A12" s="6" t="s">
        <v>86</v>
      </c>
      <c r="B12" s="5" t="s">
        <v>81</v>
      </c>
      <c r="C12" s="8">
        <v>11680392</v>
      </c>
      <c r="D12" s="8">
        <v>11552184</v>
      </c>
      <c r="E12" s="8">
        <v>11350086</v>
      </c>
      <c r="F12" s="8">
        <v>11062145</v>
      </c>
      <c r="G12" s="8">
        <v>10832415</v>
      </c>
      <c r="H12" s="8">
        <v>10713668</v>
      </c>
      <c r="I12" s="8">
        <v>10615739</v>
      </c>
      <c r="J12" s="8">
        <v>10602967</v>
      </c>
      <c r="K12" s="8">
        <v>10755798</v>
      </c>
      <c r="L12" s="8">
        <v>10968960</v>
      </c>
      <c r="M12" s="8">
        <v>11134177</v>
      </c>
      <c r="N12" s="8">
        <v>11482571</v>
      </c>
      <c r="O12" s="8">
        <v>11959117</v>
      </c>
      <c r="P12" s="8">
        <v>12713513</v>
      </c>
      <c r="Q12" s="8">
        <v>13268550</v>
      </c>
      <c r="R12" s="8">
        <v>13746439</v>
      </c>
      <c r="S12" s="8">
        <v>14050419</v>
      </c>
      <c r="T12" s="8">
        <v>15247873</v>
      </c>
      <c r="U12" s="8">
        <v>15786164</v>
      </c>
      <c r="V12" s="8">
        <v>16479793</v>
      </c>
      <c r="W12" s="8">
        <v>17202106</v>
      </c>
      <c r="X12" s="8">
        <v>18159035</v>
      </c>
      <c r="Y12" s="8">
        <v>18153093</v>
      </c>
      <c r="Z12" s="8">
        <v>18521423</v>
      </c>
      <c r="AA12" s="8">
        <v>18975407</v>
      </c>
      <c r="AB12" s="8">
        <v>19526836</v>
      </c>
      <c r="AC12" s="8">
        <v>19986149</v>
      </c>
      <c r="AD12" s="8">
        <v>20499222</v>
      </c>
      <c r="AE12" s="8">
        <v>20945960</v>
      </c>
      <c r="AF12" s="8">
        <v>21296573</v>
      </c>
      <c r="AG12" s="8">
        <v>21385705</v>
      </c>
      <c r="AH12" s="8">
        <v>21662844</v>
      </c>
      <c r="AI12" s="8">
        <v>21682133</v>
      </c>
      <c r="AJ12" s="8">
        <v>21632283</v>
      </c>
      <c r="AK12" s="8">
        <v>21529383</v>
      </c>
      <c r="AL12" s="8">
        <v>21264605</v>
      </c>
      <c r="AM12" s="8">
        <v>20744059</v>
      </c>
      <c r="AN12" s="8">
        <v>20191548</v>
      </c>
      <c r="AO12" s="8">
        <v>19654537</v>
      </c>
      <c r="AP12" s="8">
        <v>19257656</v>
      </c>
      <c r="AQ12" s="8">
        <v>19150386</v>
      </c>
      <c r="AR12" s="8">
        <v>19234425</v>
      </c>
      <c r="AS12" s="8">
        <v>19188002</v>
      </c>
      <c r="AT12" s="8">
        <v>18989924</v>
      </c>
      <c r="AU12" s="8">
        <v>18656064</v>
      </c>
      <c r="AV12" s="8">
        <v>18300214</v>
      </c>
      <c r="AW12" s="8">
        <v>17876645</v>
      </c>
      <c r="AX12" s="8">
        <v>17910076</v>
      </c>
      <c r="AY12" s="8">
        <v>18167103</v>
      </c>
      <c r="AZ12" s="8">
        <v>18591429</v>
      </c>
      <c r="BA12" s="8">
        <v>19116667</v>
      </c>
      <c r="BB12" s="8">
        <v>19757286</v>
      </c>
      <c r="BC12" s="8">
        <v>20243765</v>
      </c>
      <c r="BD12" s="8">
        <v>20591688</v>
      </c>
      <c r="BE12" s="8">
        <v>20845560</v>
      </c>
      <c r="BF12" s="8">
        <v>20959955</v>
      </c>
      <c r="BG12" s="8">
        <v>21036135</v>
      </c>
      <c r="BH12" s="8">
        <v>21077999</v>
      </c>
      <c r="BI12" s="8">
        <v>21180612</v>
      </c>
      <c r="BJ12" s="8">
        <v>21384122</v>
      </c>
      <c r="BK12" s="8">
        <v>21702446</v>
      </c>
      <c r="BL12" s="8">
        <v>22164869</v>
      </c>
      <c r="BM12" s="8">
        <v>22596399</v>
      </c>
      <c r="BN12" s="8">
        <v>22826845</v>
      </c>
      <c r="BO12" s="8">
        <v>22891992</v>
      </c>
      <c r="BP12" s="8">
        <v>22689498</v>
      </c>
      <c r="BQ12" s="8">
        <v>22367653</v>
      </c>
      <c r="BR12" s="8">
        <v>22061611</v>
      </c>
      <c r="BS12" s="8">
        <v>21825110</v>
      </c>
      <c r="BT12" s="8">
        <v>21643974</v>
      </c>
      <c r="BU12" s="8">
        <v>22082951</v>
      </c>
      <c r="BV12" s="8">
        <v>22489868</v>
      </c>
      <c r="BW12" s="8">
        <v>22705779</v>
      </c>
      <c r="BX12" s="8">
        <v>22705779</v>
      </c>
    </row>
    <row r="13" spans="1:76" ht="14" x14ac:dyDescent="0.2">
      <c r="A13" s="6" t="s">
        <v>87</v>
      </c>
      <c r="B13" s="5" t="s">
        <v>81</v>
      </c>
      <c r="C13" s="7">
        <v>12361596</v>
      </c>
      <c r="D13" s="7">
        <v>12294867</v>
      </c>
      <c r="E13" s="7">
        <v>12187349</v>
      </c>
      <c r="F13" s="7">
        <v>12131813</v>
      </c>
      <c r="G13" s="7">
        <v>11982369</v>
      </c>
      <c r="H13" s="7">
        <v>11834567</v>
      </c>
      <c r="I13" s="7">
        <v>11722691</v>
      </c>
      <c r="J13" s="7">
        <v>11539820</v>
      </c>
      <c r="K13" s="7">
        <v>11272165</v>
      </c>
      <c r="L13" s="7">
        <v>11046962</v>
      </c>
      <c r="M13" s="7">
        <v>10935627</v>
      </c>
      <c r="N13" s="7">
        <v>10869740</v>
      </c>
      <c r="O13" s="7">
        <v>10857229</v>
      </c>
      <c r="P13" s="7">
        <v>10973952</v>
      </c>
      <c r="Q13" s="7">
        <v>11167969</v>
      </c>
      <c r="R13" s="7">
        <v>11340210</v>
      </c>
      <c r="S13" s="7">
        <v>11661757</v>
      </c>
      <c r="T13" s="7">
        <v>12093274</v>
      </c>
      <c r="U13" s="7">
        <v>12799887</v>
      </c>
      <c r="V13" s="7">
        <v>13290478</v>
      </c>
      <c r="W13" s="7">
        <v>13736148</v>
      </c>
      <c r="X13" s="7">
        <v>14041352</v>
      </c>
      <c r="Y13" s="7">
        <v>15240474</v>
      </c>
      <c r="Z13" s="7">
        <v>15786244</v>
      </c>
      <c r="AA13" s="7">
        <v>16521117</v>
      </c>
      <c r="AB13" s="7">
        <v>17280356</v>
      </c>
      <c r="AC13" s="7">
        <v>18274285</v>
      </c>
      <c r="AD13" s="7">
        <v>18277493</v>
      </c>
      <c r="AE13" s="7">
        <v>18683006</v>
      </c>
      <c r="AF13" s="7">
        <v>19177693</v>
      </c>
      <c r="AG13" s="7">
        <v>19685966</v>
      </c>
      <c r="AH13" s="7">
        <v>20169056</v>
      </c>
      <c r="AI13" s="7">
        <v>20703701</v>
      </c>
      <c r="AJ13" s="7">
        <v>21140616</v>
      </c>
      <c r="AK13" s="7">
        <v>21458663</v>
      </c>
      <c r="AL13" s="7">
        <v>21671065</v>
      </c>
      <c r="AM13" s="7">
        <v>21893014</v>
      </c>
      <c r="AN13" s="7">
        <v>21856591</v>
      </c>
      <c r="AO13" s="7">
        <v>21739222</v>
      </c>
      <c r="AP13" s="7">
        <v>21560206</v>
      </c>
      <c r="AQ13" s="7">
        <v>21277047</v>
      </c>
      <c r="AR13" s="7">
        <v>20923137</v>
      </c>
      <c r="AS13" s="7">
        <v>20502617</v>
      </c>
      <c r="AT13" s="7">
        <v>20068893</v>
      </c>
      <c r="AU13" s="7">
        <v>19739565</v>
      </c>
      <c r="AV13" s="7">
        <v>19679936</v>
      </c>
      <c r="AW13" s="7">
        <v>19864140</v>
      </c>
      <c r="AX13" s="7">
        <v>19899040</v>
      </c>
      <c r="AY13" s="7">
        <v>19803644</v>
      </c>
      <c r="AZ13" s="7">
        <v>19575057</v>
      </c>
      <c r="BA13" s="7">
        <v>19280263</v>
      </c>
      <c r="BB13" s="7">
        <v>18819347</v>
      </c>
      <c r="BC13" s="7">
        <v>18691340</v>
      </c>
      <c r="BD13" s="7">
        <v>18771585</v>
      </c>
      <c r="BE13" s="7">
        <v>19107055</v>
      </c>
      <c r="BF13" s="7">
        <v>19534710</v>
      </c>
      <c r="BG13" s="7">
        <v>20110011</v>
      </c>
      <c r="BH13" s="7">
        <v>20542698</v>
      </c>
      <c r="BI13" s="7">
        <v>20902668</v>
      </c>
      <c r="BJ13" s="7">
        <v>21078228</v>
      </c>
      <c r="BK13" s="7">
        <v>21143803</v>
      </c>
      <c r="BL13" s="7">
        <v>21285214</v>
      </c>
      <c r="BM13" s="7">
        <v>21393279</v>
      </c>
      <c r="BN13" s="7">
        <v>21582353</v>
      </c>
      <c r="BO13" s="7">
        <v>21968523</v>
      </c>
      <c r="BP13" s="7">
        <v>22431356</v>
      </c>
      <c r="BQ13" s="7">
        <v>22939672</v>
      </c>
      <c r="BR13" s="7">
        <v>23360795</v>
      </c>
      <c r="BS13" s="7">
        <v>23547218</v>
      </c>
      <c r="BT13" s="7">
        <v>23539452</v>
      </c>
      <c r="BU13" s="7">
        <v>22764166</v>
      </c>
      <c r="BV13" s="7">
        <v>22394192</v>
      </c>
      <c r="BW13" s="7">
        <v>22193164</v>
      </c>
      <c r="BX13" s="7">
        <v>22193164</v>
      </c>
    </row>
    <row r="14" spans="1:76" ht="14" x14ac:dyDescent="0.2">
      <c r="A14" s="6" t="s">
        <v>88</v>
      </c>
      <c r="B14" s="5" t="s">
        <v>81</v>
      </c>
      <c r="C14" s="8">
        <v>11674177</v>
      </c>
      <c r="D14" s="8">
        <v>11894513</v>
      </c>
      <c r="E14" s="8">
        <v>12114392</v>
      </c>
      <c r="F14" s="8">
        <v>12208194</v>
      </c>
      <c r="G14" s="8">
        <v>12357659</v>
      </c>
      <c r="H14" s="8">
        <v>12447663</v>
      </c>
      <c r="I14" s="8">
        <v>12399044</v>
      </c>
      <c r="J14" s="8">
        <v>12303958</v>
      </c>
      <c r="K14" s="8">
        <v>12266153</v>
      </c>
      <c r="L14" s="8">
        <v>12121784</v>
      </c>
      <c r="M14" s="8">
        <v>11982903</v>
      </c>
      <c r="N14" s="8">
        <v>11821862</v>
      </c>
      <c r="O14" s="8">
        <v>11636937</v>
      </c>
      <c r="P14" s="8">
        <v>11436030</v>
      </c>
      <c r="Q14" s="8">
        <v>11228332</v>
      </c>
      <c r="R14" s="8">
        <v>11124787</v>
      </c>
      <c r="S14" s="8">
        <v>11063412</v>
      </c>
      <c r="T14" s="8">
        <v>11062934</v>
      </c>
      <c r="U14" s="8">
        <v>11189864</v>
      </c>
      <c r="V14" s="8">
        <v>11390192</v>
      </c>
      <c r="W14" s="8">
        <v>11587384</v>
      </c>
      <c r="X14" s="8">
        <v>11916942</v>
      </c>
      <c r="Y14" s="8">
        <v>12383463</v>
      </c>
      <c r="Z14" s="8">
        <v>13152833</v>
      </c>
      <c r="AA14" s="8">
        <v>13704283</v>
      </c>
      <c r="AB14" s="8">
        <v>14190906</v>
      </c>
      <c r="AC14" s="8">
        <v>14484571</v>
      </c>
      <c r="AD14" s="8">
        <v>15720733</v>
      </c>
      <c r="AE14" s="8">
        <v>16280097</v>
      </c>
      <c r="AF14" s="8">
        <v>17024931</v>
      </c>
      <c r="AG14" s="8">
        <v>17742706</v>
      </c>
      <c r="AH14" s="8">
        <v>18731465</v>
      </c>
      <c r="AI14" s="8">
        <v>18713555</v>
      </c>
      <c r="AJ14" s="8">
        <v>19067141</v>
      </c>
      <c r="AK14" s="8">
        <v>19503090</v>
      </c>
      <c r="AL14" s="8">
        <v>20025358</v>
      </c>
      <c r="AM14" s="8">
        <v>20478696</v>
      </c>
      <c r="AN14" s="8">
        <v>20984021</v>
      </c>
      <c r="AO14" s="8">
        <v>21390911</v>
      </c>
      <c r="AP14" s="8">
        <v>21676182</v>
      </c>
      <c r="AQ14" s="8">
        <v>21938773</v>
      </c>
      <c r="AR14" s="8">
        <v>22300865</v>
      </c>
      <c r="AS14" s="8">
        <v>22494353</v>
      </c>
      <c r="AT14" s="8">
        <v>22583503</v>
      </c>
      <c r="AU14" s="8">
        <v>22589989</v>
      </c>
      <c r="AV14" s="8">
        <v>22372187</v>
      </c>
      <c r="AW14" s="8">
        <v>21945165</v>
      </c>
      <c r="AX14" s="8">
        <v>21445923</v>
      </c>
      <c r="AY14" s="8">
        <v>20952868</v>
      </c>
      <c r="AZ14" s="8">
        <v>20603349</v>
      </c>
      <c r="BA14" s="8">
        <v>20524234</v>
      </c>
      <c r="BB14" s="8">
        <v>20652175</v>
      </c>
      <c r="BC14" s="8">
        <v>20658306</v>
      </c>
      <c r="BD14" s="8">
        <v>20472210</v>
      </c>
      <c r="BE14" s="8">
        <v>20159501</v>
      </c>
      <c r="BF14" s="8">
        <v>19723937</v>
      </c>
      <c r="BG14" s="8">
        <v>19285168</v>
      </c>
      <c r="BH14" s="8">
        <v>19170765</v>
      </c>
      <c r="BI14" s="8">
        <v>19304805</v>
      </c>
      <c r="BJ14" s="8">
        <v>19645114</v>
      </c>
      <c r="BK14" s="8">
        <v>20068351</v>
      </c>
      <c r="BL14" s="8">
        <v>20515735</v>
      </c>
      <c r="BM14" s="8">
        <v>20910755</v>
      </c>
      <c r="BN14" s="8">
        <v>21272053</v>
      </c>
      <c r="BO14" s="8">
        <v>21507288</v>
      </c>
      <c r="BP14" s="8">
        <v>21641883</v>
      </c>
      <c r="BQ14" s="8">
        <v>21835455</v>
      </c>
      <c r="BR14" s="8">
        <v>21959063</v>
      </c>
      <c r="BS14" s="8">
        <v>22131842</v>
      </c>
      <c r="BT14" s="8">
        <v>22464232</v>
      </c>
      <c r="BU14" s="8">
        <v>22788530</v>
      </c>
      <c r="BV14" s="8">
        <v>23034989</v>
      </c>
      <c r="BW14" s="8">
        <v>23308136</v>
      </c>
      <c r="BX14" s="8">
        <v>23308136</v>
      </c>
    </row>
    <row r="15" spans="1:76" ht="14" x14ac:dyDescent="0.2">
      <c r="A15" s="6" t="s">
        <v>89</v>
      </c>
      <c r="B15" s="5" t="s">
        <v>81</v>
      </c>
      <c r="C15" s="7">
        <v>11346649</v>
      </c>
      <c r="D15" s="7">
        <v>11462184</v>
      </c>
      <c r="E15" s="7">
        <v>11572130</v>
      </c>
      <c r="F15" s="7">
        <v>11664248</v>
      </c>
      <c r="G15" s="7">
        <v>11740758</v>
      </c>
      <c r="H15" s="7">
        <v>11856643</v>
      </c>
      <c r="I15" s="7">
        <v>12062681</v>
      </c>
      <c r="J15" s="7">
        <v>12268531</v>
      </c>
      <c r="K15" s="7">
        <v>12351895</v>
      </c>
      <c r="L15" s="7">
        <v>12478150</v>
      </c>
      <c r="M15" s="7">
        <v>12542472</v>
      </c>
      <c r="N15" s="7">
        <v>12540484</v>
      </c>
      <c r="O15" s="7">
        <v>12473576</v>
      </c>
      <c r="P15" s="7">
        <v>12353180</v>
      </c>
      <c r="Q15" s="7">
        <v>12195540</v>
      </c>
      <c r="R15" s="7">
        <v>12020684</v>
      </c>
      <c r="S15" s="7">
        <v>11846556</v>
      </c>
      <c r="T15" s="7">
        <v>11662848</v>
      </c>
      <c r="U15" s="7">
        <v>11459844</v>
      </c>
      <c r="V15" s="7">
        <v>11251513</v>
      </c>
      <c r="W15" s="7">
        <v>11154676</v>
      </c>
      <c r="X15" s="7">
        <v>11119869</v>
      </c>
      <c r="Y15" s="7">
        <v>11158422</v>
      </c>
      <c r="Z15" s="7">
        <v>11269992</v>
      </c>
      <c r="AA15" s="7">
        <v>11448920</v>
      </c>
      <c r="AB15" s="7">
        <v>11633670</v>
      </c>
      <c r="AC15" s="7">
        <v>11927493</v>
      </c>
      <c r="AD15" s="7">
        <v>12353724</v>
      </c>
      <c r="AE15" s="7">
        <v>13096865</v>
      </c>
      <c r="AF15" s="7">
        <v>13635505</v>
      </c>
      <c r="AG15" s="7">
        <v>14076734</v>
      </c>
      <c r="AH15" s="7">
        <v>14366109</v>
      </c>
      <c r="AI15" s="7">
        <v>15566116</v>
      </c>
      <c r="AJ15" s="7">
        <v>16117085</v>
      </c>
      <c r="AK15" s="7">
        <v>16867359</v>
      </c>
      <c r="AL15" s="7">
        <v>17603617</v>
      </c>
      <c r="AM15" s="7">
        <v>18611036</v>
      </c>
      <c r="AN15" s="7">
        <v>18618793</v>
      </c>
      <c r="AO15" s="7">
        <v>18992825</v>
      </c>
      <c r="AP15" s="7">
        <v>19454599</v>
      </c>
      <c r="AQ15" s="7">
        <v>19990295</v>
      </c>
      <c r="AR15" s="7">
        <v>20577348</v>
      </c>
      <c r="AS15" s="7">
        <v>21184399</v>
      </c>
      <c r="AT15" s="7">
        <v>21726595</v>
      </c>
      <c r="AU15" s="7">
        <v>22134607</v>
      </c>
      <c r="AV15" s="7">
        <v>22491620</v>
      </c>
      <c r="AW15" s="7">
        <v>22785751</v>
      </c>
      <c r="AX15" s="7">
        <v>22903621</v>
      </c>
      <c r="AY15" s="7">
        <v>22926197</v>
      </c>
      <c r="AZ15" s="7">
        <v>22882549</v>
      </c>
      <c r="BA15" s="7">
        <v>22650852</v>
      </c>
      <c r="BB15" s="7">
        <v>22235918</v>
      </c>
      <c r="BC15" s="7">
        <v>21751218</v>
      </c>
      <c r="BD15" s="7">
        <v>21264159</v>
      </c>
      <c r="BE15" s="7">
        <v>20874649</v>
      </c>
      <c r="BF15" s="7">
        <v>20798653</v>
      </c>
      <c r="BG15" s="7">
        <v>20941233</v>
      </c>
      <c r="BH15" s="7">
        <v>20963891</v>
      </c>
      <c r="BI15" s="7">
        <v>20817463</v>
      </c>
      <c r="BJ15" s="7">
        <v>20507796</v>
      </c>
      <c r="BK15" s="7">
        <v>20077373</v>
      </c>
      <c r="BL15" s="7">
        <v>19598422</v>
      </c>
      <c r="BM15" s="7">
        <v>19490281</v>
      </c>
      <c r="BN15" s="7">
        <v>19604695</v>
      </c>
      <c r="BO15" s="7">
        <v>19873674</v>
      </c>
      <c r="BP15" s="7">
        <v>20308469</v>
      </c>
      <c r="BQ15" s="7">
        <v>20785173</v>
      </c>
      <c r="BR15" s="7">
        <v>21191318</v>
      </c>
      <c r="BS15" s="7">
        <v>21548960</v>
      </c>
      <c r="BT15" s="7">
        <v>21753883</v>
      </c>
      <c r="BU15" s="7">
        <v>22133249</v>
      </c>
      <c r="BV15" s="7">
        <v>22207003</v>
      </c>
      <c r="BW15" s="7">
        <v>22267949</v>
      </c>
      <c r="BX15" s="7">
        <v>22267949</v>
      </c>
    </row>
    <row r="16" spans="1:76" ht="14" x14ac:dyDescent="0.2">
      <c r="A16" s="6" t="s">
        <v>90</v>
      </c>
      <c r="B16" s="5" t="s">
        <v>81</v>
      </c>
      <c r="C16" s="8">
        <v>10289820</v>
      </c>
      <c r="D16" s="8">
        <v>10451492</v>
      </c>
      <c r="E16" s="8">
        <v>10620674</v>
      </c>
      <c r="F16" s="8">
        <v>10781531</v>
      </c>
      <c r="G16" s="8">
        <v>10920707</v>
      </c>
      <c r="H16" s="8">
        <v>11054896</v>
      </c>
      <c r="I16" s="8">
        <v>11194519</v>
      </c>
      <c r="J16" s="8">
        <v>11327939</v>
      </c>
      <c r="K16" s="8">
        <v>11446313</v>
      </c>
      <c r="L16" s="8">
        <v>11544617</v>
      </c>
      <c r="M16" s="8">
        <v>11678891</v>
      </c>
      <c r="N16" s="8">
        <v>11851939</v>
      </c>
      <c r="O16" s="8">
        <v>12045211</v>
      </c>
      <c r="P16" s="8">
        <v>12231166</v>
      </c>
      <c r="Q16" s="8">
        <v>12366102</v>
      </c>
      <c r="R16" s="8">
        <v>12426362</v>
      </c>
      <c r="S16" s="8">
        <v>12428961</v>
      </c>
      <c r="T16" s="8">
        <v>12375308</v>
      </c>
      <c r="U16" s="8">
        <v>12270867</v>
      </c>
      <c r="V16" s="8">
        <v>12131538</v>
      </c>
      <c r="W16" s="8">
        <v>11994976</v>
      </c>
      <c r="X16" s="8">
        <v>11858178</v>
      </c>
      <c r="Y16" s="8">
        <v>11701085</v>
      </c>
      <c r="Z16" s="8">
        <v>11540075</v>
      </c>
      <c r="AA16" s="8">
        <v>11376569</v>
      </c>
      <c r="AB16" s="8">
        <v>11197160</v>
      </c>
      <c r="AC16" s="8">
        <v>11166358</v>
      </c>
      <c r="AD16" s="8">
        <v>11208747</v>
      </c>
      <c r="AE16" s="8">
        <v>11339956</v>
      </c>
      <c r="AF16" s="8">
        <v>11540494</v>
      </c>
      <c r="AG16" s="8">
        <v>11728497</v>
      </c>
      <c r="AH16" s="8">
        <v>12028281</v>
      </c>
      <c r="AI16" s="8">
        <v>12464234</v>
      </c>
      <c r="AJ16" s="8">
        <v>13150222</v>
      </c>
      <c r="AK16" s="8">
        <v>13635574</v>
      </c>
      <c r="AL16" s="8">
        <v>14087397</v>
      </c>
      <c r="AM16" s="8">
        <v>14397959</v>
      </c>
      <c r="AN16" s="8">
        <v>15607616</v>
      </c>
      <c r="AO16" s="8">
        <v>16187611</v>
      </c>
      <c r="AP16" s="8">
        <v>16959853</v>
      </c>
      <c r="AQ16" s="8">
        <v>17792942</v>
      </c>
      <c r="AR16" s="8">
        <v>18752118</v>
      </c>
      <c r="AS16" s="8">
        <v>18791935</v>
      </c>
      <c r="AT16" s="8">
        <v>19184955</v>
      </c>
      <c r="AU16" s="8">
        <v>19684259</v>
      </c>
      <c r="AV16" s="8">
        <v>20219148</v>
      </c>
      <c r="AW16" s="8">
        <v>20765512</v>
      </c>
      <c r="AX16" s="8">
        <v>21324794</v>
      </c>
      <c r="AY16" s="8">
        <v>21822157</v>
      </c>
      <c r="AZ16" s="8">
        <v>22194128</v>
      </c>
      <c r="BA16" s="8">
        <v>22517991</v>
      </c>
      <c r="BB16" s="8">
        <v>22815834</v>
      </c>
      <c r="BC16" s="8">
        <v>22889431</v>
      </c>
      <c r="BD16" s="8">
        <v>22890047</v>
      </c>
      <c r="BE16" s="8">
        <v>22925626</v>
      </c>
      <c r="BF16" s="8">
        <v>22706885</v>
      </c>
      <c r="BG16" s="8">
        <v>22302568</v>
      </c>
      <c r="BH16" s="8">
        <v>21832339</v>
      </c>
      <c r="BI16" s="8">
        <v>21375023</v>
      </c>
      <c r="BJ16" s="8">
        <v>20980015</v>
      </c>
      <c r="BK16" s="8">
        <v>20903283</v>
      </c>
      <c r="BL16" s="8">
        <v>21035359</v>
      </c>
      <c r="BM16" s="8">
        <v>21021429</v>
      </c>
      <c r="BN16" s="8">
        <v>20841473</v>
      </c>
      <c r="BO16" s="8">
        <v>20529624</v>
      </c>
      <c r="BP16" s="8">
        <v>20132157</v>
      </c>
      <c r="BQ16" s="8">
        <v>19678727</v>
      </c>
      <c r="BR16" s="8">
        <v>19576587</v>
      </c>
      <c r="BS16" s="8">
        <v>19683134</v>
      </c>
      <c r="BT16" s="8">
        <v>19920561</v>
      </c>
      <c r="BU16" s="8">
        <v>20604832</v>
      </c>
      <c r="BV16" s="8">
        <v>21038242</v>
      </c>
      <c r="BW16" s="8">
        <v>21427416</v>
      </c>
      <c r="BX16" s="8">
        <v>21427416</v>
      </c>
    </row>
    <row r="17" spans="1:76" ht="14" x14ac:dyDescent="0.2">
      <c r="A17" s="6" t="s">
        <v>91</v>
      </c>
      <c r="B17" s="5" t="s">
        <v>81</v>
      </c>
      <c r="C17" s="7">
        <v>9141999</v>
      </c>
      <c r="D17" s="7">
        <v>9312990</v>
      </c>
      <c r="E17" s="7">
        <v>9533927</v>
      </c>
      <c r="F17" s="7">
        <v>9735136</v>
      </c>
      <c r="G17" s="7">
        <v>9950490</v>
      </c>
      <c r="H17" s="7">
        <v>10159845</v>
      </c>
      <c r="I17" s="7">
        <v>10323825</v>
      </c>
      <c r="J17" s="7">
        <v>10493176</v>
      </c>
      <c r="K17" s="7">
        <v>10656799</v>
      </c>
      <c r="L17" s="7">
        <v>10796038</v>
      </c>
      <c r="M17" s="7">
        <v>10914008</v>
      </c>
      <c r="N17" s="7">
        <v>10999165</v>
      </c>
      <c r="O17" s="7">
        <v>11072357</v>
      </c>
      <c r="P17" s="7">
        <v>11150213</v>
      </c>
      <c r="Q17" s="7">
        <v>11249863</v>
      </c>
      <c r="R17" s="7">
        <v>11380135</v>
      </c>
      <c r="S17" s="7">
        <v>11544529</v>
      </c>
      <c r="T17" s="7">
        <v>11740037</v>
      </c>
      <c r="U17" s="7">
        <v>11931194</v>
      </c>
      <c r="V17" s="7">
        <v>12072471</v>
      </c>
      <c r="W17" s="7">
        <v>12150627</v>
      </c>
      <c r="X17" s="7">
        <v>12141906</v>
      </c>
      <c r="Y17" s="7">
        <v>12032621</v>
      </c>
      <c r="Z17" s="7">
        <v>11960173</v>
      </c>
      <c r="AA17" s="7">
        <v>11848693</v>
      </c>
      <c r="AB17" s="7">
        <v>11784362</v>
      </c>
      <c r="AC17" s="7">
        <v>11652055</v>
      </c>
      <c r="AD17" s="7">
        <v>11501147</v>
      </c>
      <c r="AE17" s="7">
        <v>11357929</v>
      </c>
      <c r="AF17" s="7">
        <v>11217085</v>
      </c>
      <c r="AG17" s="7">
        <v>11048040</v>
      </c>
      <c r="AH17" s="7">
        <v>10984904</v>
      </c>
      <c r="AI17" s="7">
        <v>11011479</v>
      </c>
      <c r="AJ17" s="7">
        <v>11200898</v>
      </c>
      <c r="AK17" s="7">
        <v>11428783</v>
      </c>
      <c r="AL17" s="7">
        <v>11605636</v>
      </c>
      <c r="AM17" s="7">
        <v>11877754</v>
      </c>
      <c r="AN17" s="7">
        <v>12294156</v>
      </c>
      <c r="AO17" s="7">
        <v>12954485</v>
      </c>
      <c r="AP17" s="7">
        <v>13421241</v>
      </c>
      <c r="AQ17" s="7">
        <v>13829016</v>
      </c>
      <c r="AR17" s="7">
        <v>14129092</v>
      </c>
      <c r="AS17" s="7">
        <v>15412698</v>
      </c>
      <c r="AT17" s="7">
        <v>16013324</v>
      </c>
      <c r="AU17" s="7">
        <v>16790570</v>
      </c>
      <c r="AV17" s="7">
        <v>17623741</v>
      </c>
      <c r="AW17" s="7">
        <v>18610526</v>
      </c>
      <c r="AX17" s="7">
        <v>18686640</v>
      </c>
      <c r="AY17" s="7">
        <v>19114163</v>
      </c>
      <c r="AZ17" s="7">
        <v>19654207</v>
      </c>
      <c r="BA17" s="7">
        <v>20219527</v>
      </c>
      <c r="BB17" s="7">
        <v>20698983</v>
      </c>
      <c r="BC17" s="7">
        <v>21252288</v>
      </c>
      <c r="BD17" s="7">
        <v>21722676</v>
      </c>
      <c r="BE17" s="7">
        <v>22065262</v>
      </c>
      <c r="BF17" s="7">
        <v>22417171</v>
      </c>
      <c r="BG17" s="7">
        <v>22715286</v>
      </c>
      <c r="BH17" s="7">
        <v>22799761</v>
      </c>
      <c r="BI17" s="7">
        <v>22820973</v>
      </c>
      <c r="BJ17" s="7">
        <v>22862245</v>
      </c>
      <c r="BK17" s="7">
        <v>22634956</v>
      </c>
      <c r="BL17" s="7">
        <v>22162012</v>
      </c>
      <c r="BM17" s="7">
        <v>21684310</v>
      </c>
      <c r="BN17" s="7">
        <v>21202912</v>
      </c>
      <c r="BO17" s="7">
        <v>20819977</v>
      </c>
      <c r="BP17" s="7">
        <v>20761610</v>
      </c>
      <c r="BQ17" s="7">
        <v>20907053</v>
      </c>
      <c r="BR17" s="7">
        <v>20897300</v>
      </c>
      <c r="BS17" s="7">
        <v>20715437</v>
      </c>
      <c r="BT17" s="7">
        <v>20390439</v>
      </c>
      <c r="BU17" s="7">
        <v>20276251</v>
      </c>
      <c r="BV17" s="7">
        <v>19747890</v>
      </c>
      <c r="BW17" s="7">
        <v>19624098</v>
      </c>
      <c r="BX17" s="7">
        <v>19624098</v>
      </c>
    </row>
    <row r="18" spans="1:76" ht="14" x14ac:dyDescent="0.2">
      <c r="A18" s="6" t="s">
        <v>92</v>
      </c>
      <c r="B18" s="5" t="s">
        <v>81</v>
      </c>
      <c r="C18" s="8">
        <v>8310945</v>
      </c>
      <c r="D18" s="8">
        <v>8363831</v>
      </c>
      <c r="E18" s="8">
        <v>8401096</v>
      </c>
      <c r="F18" s="8">
        <v>8492362</v>
      </c>
      <c r="G18" s="8">
        <v>8609326</v>
      </c>
      <c r="H18" s="8">
        <v>8724570</v>
      </c>
      <c r="I18" s="8">
        <v>8882094</v>
      </c>
      <c r="J18" s="8">
        <v>9086347</v>
      </c>
      <c r="K18" s="8">
        <v>9270436</v>
      </c>
      <c r="L18" s="8">
        <v>9465880</v>
      </c>
      <c r="M18" s="8">
        <v>9664114</v>
      </c>
      <c r="N18" s="8">
        <v>9876334</v>
      </c>
      <c r="O18" s="8">
        <v>10051259</v>
      </c>
      <c r="P18" s="8">
        <v>10195686</v>
      </c>
      <c r="Q18" s="8">
        <v>10330268</v>
      </c>
      <c r="R18" s="8">
        <v>10459044</v>
      </c>
      <c r="S18" s="8">
        <v>10580584</v>
      </c>
      <c r="T18" s="8">
        <v>10699780</v>
      </c>
      <c r="U18" s="8">
        <v>10826841</v>
      </c>
      <c r="V18" s="8">
        <v>10974617</v>
      </c>
      <c r="W18" s="8">
        <v>11165775</v>
      </c>
      <c r="X18" s="8">
        <v>11376668</v>
      </c>
      <c r="Y18" s="8">
        <v>11653511</v>
      </c>
      <c r="Z18" s="8">
        <v>11846845</v>
      </c>
      <c r="AA18" s="8">
        <v>11960053</v>
      </c>
      <c r="AB18" s="8">
        <v>11972279</v>
      </c>
      <c r="AC18" s="8">
        <v>11970041</v>
      </c>
      <c r="AD18" s="8">
        <v>11869208</v>
      </c>
      <c r="AE18" s="8">
        <v>11815672</v>
      </c>
      <c r="AF18" s="8">
        <v>11724940</v>
      </c>
      <c r="AG18" s="8">
        <v>11694715</v>
      </c>
      <c r="AH18" s="8">
        <v>11594631</v>
      </c>
      <c r="AI18" s="8">
        <v>11413830</v>
      </c>
      <c r="AJ18" s="8">
        <v>11154573</v>
      </c>
      <c r="AK18" s="8">
        <v>10956640</v>
      </c>
      <c r="AL18" s="8">
        <v>10853668</v>
      </c>
      <c r="AM18" s="8">
        <v>10781173</v>
      </c>
      <c r="AN18" s="8">
        <v>10801724</v>
      </c>
      <c r="AO18" s="8">
        <v>10994763</v>
      </c>
      <c r="AP18" s="8">
        <v>11211949</v>
      </c>
      <c r="AQ18" s="8">
        <v>11377762</v>
      </c>
      <c r="AR18" s="8">
        <v>11691060</v>
      </c>
      <c r="AS18" s="8">
        <v>12135020</v>
      </c>
      <c r="AT18" s="8">
        <v>12850625</v>
      </c>
      <c r="AU18" s="8">
        <v>13362191</v>
      </c>
      <c r="AV18" s="8">
        <v>13856498</v>
      </c>
      <c r="AW18" s="8">
        <v>14189439</v>
      </c>
      <c r="AX18" s="8">
        <v>15490868</v>
      </c>
      <c r="AY18" s="8">
        <v>16117694</v>
      </c>
      <c r="AZ18" s="8">
        <v>16923612</v>
      </c>
      <c r="BA18" s="8">
        <v>17779447</v>
      </c>
      <c r="BB18" s="8">
        <v>18687285</v>
      </c>
      <c r="BC18" s="8">
        <v>18739906</v>
      </c>
      <c r="BD18" s="8">
        <v>19097278</v>
      </c>
      <c r="BE18" s="8">
        <v>19564668</v>
      </c>
      <c r="BF18" s="8">
        <v>20078733</v>
      </c>
      <c r="BG18" s="8">
        <v>20570873</v>
      </c>
      <c r="BH18" s="8">
        <v>21140178</v>
      </c>
      <c r="BI18" s="8">
        <v>21639474</v>
      </c>
      <c r="BJ18" s="8">
        <v>22004843</v>
      </c>
      <c r="BK18" s="8">
        <v>22351501</v>
      </c>
      <c r="BL18" s="8">
        <v>22563877</v>
      </c>
      <c r="BM18" s="8">
        <v>22571655</v>
      </c>
      <c r="BN18" s="8">
        <v>22546353</v>
      </c>
      <c r="BO18" s="8">
        <v>22509488</v>
      </c>
      <c r="BP18" s="8">
        <v>22251495</v>
      </c>
      <c r="BQ18" s="8">
        <v>21796235</v>
      </c>
      <c r="BR18" s="8">
        <v>21329749</v>
      </c>
      <c r="BS18" s="8">
        <v>20856223</v>
      </c>
      <c r="BT18" s="8">
        <v>20469884</v>
      </c>
      <c r="BU18" s="8">
        <v>20716484</v>
      </c>
      <c r="BV18" s="8">
        <v>20847481</v>
      </c>
      <c r="BW18" s="8">
        <v>20807547</v>
      </c>
      <c r="BX18" s="8">
        <v>20807547</v>
      </c>
    </row>
    <row r="19" spans="1:76" ht="14" x14ac:dyDescent="0.2">
      <c r="A19" s="6" t="s">
        <v>93</v>
      </c>
      <c r="B19" s="5" t="s">
        <v>81</v>
      </c>
      <c r="C19" s="7">
        <v>7293084</v>
      </c>
      <c r="D19" s="7">
        <v>7448701</v>
      </c>
      <c r="E19" s="7">
        <v>7546983</v>
      </c>
      <c r="F19" s="7">
        <v>7600379</v>
      </c>
      <c r="G19" s="7">
        <v>7678142</v>
      </c>
      <c r="H19" s="7">
        <v>7787751</v>
      </c>
      <c r="I19" s="7">
        <v>7893622</v>
      </c>
      <c r="J19" s="7">
        <v>7986881</v>
      </c>
      <c r="K19" s="7">
        <v>8135955</v>
      </c>
      <c r="L19" s="7">
        <v>8309275</v>
      </c>
      <c r="M19" s="7">
        <v>8470898</v>
      </c>
      <c r="N19" s="7">
        <v>8646496</v>
      </c>
      <c r="O19" s="7">
        <v>8870722</v>
      </c>
      <c r="P19" s="7">
        <v>9105949</v>
      </c>
      <c r="Q19" s="7">
        <v>9324873</v>
      </c>
      <c r="R19" s="7">
        <v>9505017</v>
      </c>
      <c r="S19" s="7">
        <v>9652979</v>
      </c>
      <c r="T19" s="7">
        <v>9765655</v>
      </c>
      <c r="U19" s="7">
        <v>9851119</v>
      </c>
      <c r="V19" s="7">
        <v>9922992</v>
      </c>
      <c r="W19" s="7">
        <v>10006476</v>
      </c>
      <c r="X19" s="7">
        <v>10089821</v>
      </c>
      <c r="Y19" s="7">
        <v>10153941</v>
      </c>
      <c r="Z19" s="7">
        <v>10228957</v>
      </c>
      <c r="AA19" s="7">
        <v>10385884</v>
      </c>
      <c r="AB19" s="7">
        <v>10645757</v>
      </c>
      <c r="AC19" s="7">
        <v>10884113</v>
      </c>
      <c r="AD19" s="7">
        <v>11191600</v>
      </c>
      <c r="AE19" s="7">
        <v>11425441</v>
      </c>
      <c r="AF19" s="7">
        <v>11581791</v>
      </c>
      <c r="AG19" s="7">
        <v>11611382</v>
      </c>
      <c r="AH19" s="7">
        <v>11554431</v>
      </c>
      <c r="AI19" s="7">
        <v>11462577</v>
      </c>
      <c r="AJ19" s="7">
        <v>11456947</v>
      </c>
      <c r="AK19" s="7">
        <v>11351541</v>
      </c>
      <c r="AL19" s="7">
        <v>11228652</v>
      </c>
      <c r="AM19" s="7">
        <v>11135058</v>
      </c>
      <c r="AN19" s="7">
        <v>10968108</v>
      </c>
      <c r="AO19" s="7">
        <v>10722442</v>
      </c>
      <c r="AP19" s="7">
        <v>10533745</v>
      </c>
      <c r="AQ19" s="7">
        <v>10478159</v>
      </c>
      <c r="AR19" s="7">
        <v>10442789</v>
      </c>
      <c r="AS19" s="7">
        <v>10520900</v>
      </c>
      <c r="AT19" s="7">
        <v>10736253</v>
      </c>
      <c r="AU19" s="7">
        <v>11008966</v>
      </c>
      <c r="AV19" s="7">
        <v>11182298</v>
      </c>
      <c r="AW19" s="7">
        <v>11480700</v>
      </c>
      <c r="AX19" s="7">
        <v>11905087</v>
      </c>
      <c r="AY19" s="7">
        <v>12589447</v>
      </c>
      <c r="AZ19" s="7">
        <v>13084821</v>
      </c>
      <c r="BA19" s="7">
        <v>13565937</v>
      </c>
      <c r="BB19" s="7">
        <v>13968975</v>
      </c>
      <c r="BC19" s="7">
        <v>15143067</v>
      </c>
      <c r="BD19" s="7">
        <v>15814557</v>
      </c>
      <c r="BE19" s="7">
        <v>16607176</v>
      </c>
      <c r="BF19" s="7">
        <v>17503220</v>
      </c>
      <c r="BG19" s="7">
        <v>18396860</v>
      </c>
      <c r="BH19" s="7">
        <v>18454772</v>
      </c>
      <c r="BI19" s="7">
        <v>18814568</v>
      </c>
      <c r="BJ19" s="7">
        <v>19280603</v>
      </c>
      <c r="BK19" s="7">
        <v>19793745</v>
      </c>
      <c r="BL19" s="7">
        <v>20256562</v>
      </c>
      <c r="BM19" s="7">
        <v>20766241</v>
      </c>
      <c r="BN19" s="7">
        <v>21172593</v>
      </c>
      <c r="BO19" s="7">
        <v>21458320</v>
      </c>
      <c r="BP19" s="7">
        <v>21733516</v>
      </c>
      <c r="BQ19" s="7">
        <v>21940757</v>
      </c>
      <c r="BR19" s="7">
        <v>21945659</v>
      </c>
      <c r="BS19" s="7">
        <v>21916092</v>
      </c>
      <c r="BT19" s="7">
        <v>21871091</v>
      </c>
      <c r="BU19" s="7">
        <v>21908756</v>
      </c>
      <c r="BV19" s="7">
        <v>21459873</v>
      </c>
      <c r="BW19" s="7">
        <v>20967014</v>
      </c>
      <c r="BX19" s="7">
        <v>20967014</v>
      </c>
    </row>
    <row r="20" spans="1:76" ht="14" x14ac:dyDescent="0.2">
      <c r="A20" s="6" t="s">
        <v>94</v>
      </c>
      <c r="B20" s="5" t="s">
        <v>81</v>
      </c>
      <c r="C20" s="8">
        <v>6103023</v>
      </c>
      <c r="D20" s="8">
        <v>6236146</v>
      </c>
      <c r="E20" s="8">
        <v>6402138</v>
      </c>
      <c r="F20" s="8">
        <v>6565808</v>
      </c>
      <c r="G20" s="8">
        <v>6704176</v>
      </c>
      <c r="H20" s="8">
        <v>6833891</v>
      </c>
      <c r="I20" s="8">
        <v>6957576</v>
      </c>
      <c r="J20" s="8">
        <v>7025041</v>
      </c>
      <c r="K20" s="8">
        <v>7045691</v>
      </c>
      <c r="L20" s="8">
        <v>7091875</v>
      </c>
      <c r="M20" s="8">
        <v>7154113</v>
      </c>
      <c r="N20" s="8">
        <v>7200852</v>
      </c>
      <c r="O20" s="8">
        <v>7260516</v>
      </c>
      <c r="P20" s="8">
        <v>7330192</v>
      </c>
      <c r="Q20" s="8">
        <v>7432686</v>
      </c>
      <c r="R20" s="8">
        <v>7571873</v>
      </c>
      <c r="S20" s="8">
        <v>7755052</v>
      </c>
      <c r="T20" s="8">
        <v>7986714</v>
      </c>
      <c r="U20" s="8">
        <v>8236808</v>
      </c>
      <c r="V20" s="8">
        <v>8467405</v>
      </c>
      <c r="W20" s="8">
        <v>8675709</v>
      </c>
      <c r="X20" s="8">
        <v>8872502</v>
      </c>
      <c r="Y20" s="8">
        <v>9056808</v>
      </c>
      <c r="Z20" s="8">
        <v>9199189</v>
      </c>
      <c r="AA20" s="8">
        <v>9327439</v>
      </c>
      <c r="AB20" s="8">
        <v>9399251</v>
      </c>
      <c r="AC20" s="8">
        <v>9501880</v>
      </c>
      <c r="AD20" s="8">
        <v>9588061</v>
      </c>
      <c r="AE20" s="8">
        <v>9686849</v>
      </c>
      <c r="AF20" s="8">
        <v>9866165</v>
      </c>
      <c r="AG20" s="8">
        <v>10142668</v>
      </c>
      <c r="AH20" s="8">
        <v>10359392</v>
      </c>
      <c r="AI20" s="8">
        <v>10567316</v>
      </c>
      <c r="AJ20" s="8">
        <v>10654935</v>
      </c>
      <c r="AK20" s="8">
        <v>10802626</v>
      </c>
      <c r="AL20" s="8">
        <v>10906469</v>
      </c>
      <c r="AM20" s="8">
        <v>10858833</v>
      </c>
      <c r="AN20" s="8">
        <v>10782580</v>
      </c>
      <c r="AO20" s="8">
        <v>10791279</v>
      </c>
      <c r="AP20" s="8">
        <v>10707253</v>
      </c>
      <c r="AQ20" s="8">
        <v>10623482</v>
      </c>
      <c r="AR20" s="8">
        <v>10603072</v>
      </c>
      <c r="AS20" s="8">
        <v>10477158</v>
      </c>
      <c r="AT20" s="8">
        <v>10292218</v>
      </c>
      <c r="AU20" s="8">
        <v>10150171</v>
      </c>
      <c r="AV20" s="8">
        <v>10137724</v>
      </c>
      <c r="AW20" s="8">
        <v>10109286</v>
      </c>
      <c r="AX20" s="8">
        <v>10194224</v>
      </c>
      <c r="AY20" s="8">
        <v>10421508</v>
      </c>
      <c r="AZ20" s="8">
        <v>10693205</v>
      </c>
      <c r="BA20" s="8">
        <v>10863129</v>
      </c>
      <c r="BB20" s="8">
        <v>11136320</v>
      </c>
      <c r="BC20" s="8">
        <v>11560265</v>
      </c>
      <c r="BD20" s="8">
        <v>12194388</v>
      </c>
      <c r="BE20" s="8">
        <v>12698128</v>
      </c>
      <c r="BF20" s="8">
        <v>13138277</v>
      </c>
      <c r="BG20" s="8">
        <v>13533253</v>
      </c>
      <c r="BH20" s="8">
        <v>14673662</v>
      </c>
      <c r="BI20" s="8">
        <v>15342495</v>
      </c>
      <c r="BJ20" s="8">
        <v>16124997</v>
      </c>
      <c r="BK20" s="8">
        <v>16989144</v>
      </c>
      <c r="BL20" s="8">
        <v>17812071</v>
      </c>
      <c r="BM20" s="8">
        <v>17809624</v>
      </c>
      <c r="BN20" s="8">
        <v>18107095</v>
      </c>
      <c r="BO20" s="8">
        <v>18527240</v>
      </c>
      <c r="BP20" s="8">
        <v>19012730</v>
      </c>
      <c r="BQ20" s="8">
        <v>19451114</v>
      </c>
      <c r="BR20" s="8">
        <v>19928043</v>
      </c>
      <c r="BS20" s="8">
        <v>20303185</v>
      </c>
      <c r="BT20" s="8">
        <v>20560134</v>
      </c>
      <c r="BU20" s="8">
        <v>20886654</v>
      </c>
      <c r="BV20" s="8">
        <v>21083156</v>
      </c>
      <c r="BW20" s="8">
        <v>21118423</v>
      </c>
      <c r="BX20" s="8">
        <v>21118423</v>
      </c>
    </row>
    <row r="21" spans="1:76" ht="14" x14ac:dyDescent="0.2">
      <c r="A21" s="6" t="s">
        <v>95</v>
      </c>
      <c r="B21" s="5" t="s">
        <v>81</v>
      </c>
      <c r="C21" s="7">
        <v>5048789</v>
      </c>
      <c r="D21" s="7">
        <v>5188734</v>
      </c>
      <c r="E21" s="7">
        <v>5310916</v>
      </c>
      <c r="F21" s="7">
        <v>5437251</v>
      </c>
      <c r="G21" s="7">
        <v>5565503</v>
      </c>
      <c r="H21" s="7">
        <v>5680760</v>
      </c>
      <c r="I21" s="7">
        <v>5785114</v>
      </c>
      <c r="J21" s="7">
        <v>5924351</v>
      </c>
      <c r="K21" s="7">
        <v>6055233</v>
      </c>
      <c r="L21" s="7">
        <v>6163531</v>
      </c>
      <c r="M21" s="7">
        <v>6280112</v>
      </c>
      <c r="N21" s="7">
        <v>6360229</v>
      </c>
      <c r="O21" s="7">
        <v>6411081</v>
      </c>
      <c r="P21" s="7">
        <v>6444573</v>
      </c>
      <c r="Q21" s="7">
        <v>6491794</v>
      </c>
      <c r="R21" s="7">
        <v>6550291</v>
      </c>
      <c r="S21" s="7">
        <v>6611422</v>
      </c>
      <c r="T21" s="7">
        <v>6683102</v>
      </c>
      <c r="U21" s="7">
        <v>6769073</v>
      </c>
      <c r="V21" s="7">
        <v>6879906</v>
      </c>
      <c r="W21" s="7">
        <v>7026249</v>
      </c>
      <c r="X21" s="7">
        <v>7169526</v>
      </c>
      <c r="Y21" s="7">
        <v>7404236</v>
      </c>
      <c r="Z21" s="7">
        <v>7635646</v>
      </c>
      <c r="AA21" s="7">
        <v>7863914</v>
      </c>
      <c r="AB21" s="7">
        <v>8132350</v>
      </c>
      <c r="AC21" s="7">
        <v>8317981</v>
      </c>
      <c r="AD21" s="7">
        <v>8490596</v>
      </c>
      <c r="AE21" s="7">
        <v>8625510</v>
      </c>
      <c r="AF21" s="7">
        <v>8745127</v>
      </c>
      <c r="AG21" s="7">
        <v>8809479</v>
      </c>
      <c r="AH21" s="7">
        <v>8897983</v>
      </c>
      <c r="AI21" s="7">
        <v>9003473</v>
      </c>
      <c r="AJ21" s="7">
        <v>9126749</v>
      </c>
      <c r="AK21" s="7">
        <v>9214386</v>
      </c>
      <c r="AL21" s="7">
        <v>9343205</v>
      </c>
      <c r="AM21" s="7">
        <v>9543922</v>
      </c>
      <c r="AN21" s="7">
        <v>9735196</v>
      </c>
      <c r="AO21" s="7">
        <v>9821185</v>
      </c>
      <c r="AP21" s="7">
        <v>9962236</v>
      </c>
      <c r="AQ21" s="7">
        <v>10078923</v>
      </c>
      <c r="AR21" s="7">
        <v>10038366</v>
      </c>
      <c r="AS21" s="7">
        <v>9995572</v>
      </c>
      <c r="AT21" s="7">
        <v>10043779</v>
      </c>
      <c r="AU21" s="7">
        <v>10007726</v>
      </c>
      <c r="AV21" s="7">
        <v>9976485</v>
      </c>
      <c r="AW21" s="7">
        <v>9964087</v>
      </c>
      <c r="AX21" s="7">
        <v>9849830</v>
      </c>
      <c r="AY21" s="7">
        <v>9677265</v>
      </c>
      <c r="AZ21" s="7">
        <v>9541498</v>
      </c>
      <c r="BA21" s="7">
        <v>9523909</v>
      </c>
      <c r="BB21" s="7">
        <v>9562233</v>
      </c>
      <c r="BC21" s="7">
        <v>9638481</v>
      </c>
      <c r="BD21" s="7">
        <v>9830796</v>
      </c>
      <c r="BE21" s="7">
        <v>10073429</v>
      </c>
      <c r="BF21" s="7">
        <v>10278627</v>
      </c>
      <c r="BG21" s="7">
        <v>10553201</v>
      </c>
      <c r="BH21" s="7">
        <v>10970235</v>
      </c>
      <c r="BI21" s="7">
        <v>11594347</v>
      </c>
      <c r="BJ21" s="7">
        <v>12092377</v>
      </c>
      <c r="BK21" s="7">
        <v>12520592</v>
      </c>
      <c r="BL21" s="7">
        <v>12878612</v>
      </c>
      <c r="BM21" s="7">
        <v>13980118</v>
      </c>
      <c r="BN21" s="7">
        <v>14591975</v>
      </c>
      <c r="BO21" s="7">
        <v>15296996</v>
      </c>
      <c r="BP21" s="7">
        <v>16031092</v>
      </c>
      <c r="BQ21" s="7">
        <v>16801993</v>
      </c>
      <c r="BR21" s="7">
        <v>16793596</v>
      </c>
      <c r="BS21" s="7">
        <v>17064299</v>
      </c>
      <c r="BT21" s="7">
        <v>17444367</v>
      </c>
      <c r="BU21" s="7">
        <v>17869643</v>
      </c>
      <c r="BV21" s="7">
        <v>18238929</v>
      </c>
      <c r="BW21" s="7">
        <v>18631422</v>
      </c>
      <c r="BX21" s="7">
        <v>18631422</v>
      </c>
    </row>
    <row r="22" spans="1:76" ht="14" x14ac:dyDescent="0.2">
      <c r="A22" s="6" t="s">
        <v>96</v>
      </c>
      <c r="B22" s="5" t="s">
        <v>81</v>
      </c>
      <c r="C22" s="8">
        <v>3443988</v>
      </c>
      <c r="D22" s="8">
        <v>3552716</v>
      </c>
      <c r="E22" s="8">
        <v>3678705</v>
      </c>
      <c r="F22" s="8">
        <v>3810623</v>
      </c>
      <c r="G22" s="8">
        <v>3970155</v>
      </c>
      <c r="H22" s="8">
        <v>4126565</v>
      </c>
      <c r="I22" s="8">
        <v>4267791</v>
      </c>
      <c r="J22" s="8">
        <v>4395314</v>
      </c>
      <c r="K22" s="8">
        <v>4521292</v>
      </c>
      <c r="L22" s="8">
        <v>4654846</v>
      </c>
      <c r="M22" s="8">
        <v>4773361</v>
      </c>
      <c r="N22" s="8">
        <v>4908880</v>
      </c>
      <c r="O22" s="8">
        <v>5046091</v>
      </c>
      <c r="P22" s="8">
        <v>5166206</v>
      </c>
      <c r="Q22" s="8">
        <v>5267138</v>
      </c>
      <c r="R22" s="8">
        <v>5336706</v>
      </c>
      <c r="S22" s="8">
        <v>5378014</v>
      </c>
      <c r="T22" s="8">
        <v>5399378</v>
      </c>
      <c r="U22" s="8">
        <v>5409675</v>
      </c>
      <c r="V22" s="8">
        <v>5421125</v>
      </c>
      <c r="W22" s="8">
        <v>5466741</v>
      </c>
      <c r="X22" s="8">
        <v>5514433</v>
      </c>
      <c r="Y22" s="8">
        <v>5518103</v>
      </c>
      <c r="Z22" s="8">
        <v>5611421</v>
      </c>
      <c r="AA22" s="8">
        <v>5710313</v>
      </c>
      <c r="AB22" s="8">
        <v>5784668</v>
      </c>
      <c r="AC22" s="8">
        <v>5918612</v>
      </c>
      <c r="AD22" s="8">
        <v>6147496</v>
      </c>
      <c r="AE22" s="8">
        <v>6369767</v>
      </c>
      <c r="AF22" s="8">
        <v>6592925</v>
      </c>
      <c r="AG22" s="8">
        <v>6841235</v>
      </c>
      <c r="AH22" s="8">
        <v>6991887</v>
      </c>
      <c r="AI22" s="8">
        <v>7144427</v>
      </c>
      <c r="AJ22" s="8">
        <v>7286687</v>
      </c>
      <c r="AK22" s="8">
        <v>7412203</v>
      </c>
      <c r="AL22" s="8">
        <v>7515455</v>
      </c>
      <c r="AM22" s="8">
        <v>7593337</v>
      </c>
      <c r="AN22" s="8">
        <v>7691484</v>
      </c>
      <c r="AO22" s="8">
        <v>7805120</v>
      </c>
      <c r="AP22" s="8">
        <v>7901866</v>
      </c>
      <c r="AQ22" s="8">
        <v>8025063</v>
      </c>
      <c r="AR22" s="8">
        <v>8255538</v>
      </c>
      <c r="AS22" s="8">
        <v>8490447</v>
      </c>
      <c r="AT22" s="8">
        <v>8648840</v>
      </c>
      <c r="AU22" s="8">
        <v>8782065</v>
      </c>
      <c r="AV22" s="8">
        <v>8889603</v>
      </c>
      <c r="AW22" s="8">
        <v>8860401</v>
      </c>
      <c r="AX22" s="8">
        <v>8834044</v>
      </c>
      <c r="AY22" s="8">
        <v>8892982</v>
      </c>
      <c r="AZ22" s="8">
        <v>8877411</v>
      </c>
      <c r="BA22" s="8">
        <v>8860028</v>
      </c>
      <c r="BB22" s="8">
        <v>8821946</v>
      </c>
      <c r="BC22" s="8">
        <v>8750054</v>
      </c>
      <c r="BD22" s="8">
        <v>8670119</v>
      </c>
      <c r="BE22" s="8">
        <v>8594104</v>
      </c>
      <c r="BF22" s="8">
        <v>8603070</v>
      </c>
      <c r="BG22" s="8">
        <v>8649826</v>
      </c>
      <c r="BH22" s="8">
        <v>8728492</v>
      </c>
      <c r="BI22" s="8">
        <v>8911332</v>
      </c>
      <c r="BJ22" s="8">
        <v>9140722</v>
      </c>
      <c r="BK22" s="8">
        <v>9335839</v>
      </c>
      <c r="BL22" s="8">
        <v>9607963</v>
      </c>
      <c r="BM22" s="8">
        <v>10013145</v>
      </c>
      <c r="BN22" s="8">
        <v>10602512</v>
      </c>
      <c r="BO22" s="8">
        <v>11058442</v>
      </c>
      <c r="BP22" s="8">
        <v>11457126</v>
      </c>
      <c r="BQ22" s="8">
        <v>11791134</v>
      </c>
      <c r="BR22" s="8">
        <v>12812638</v>
      </c>
      <c r="BS22" s="8">
        <v>13380707</v>
      </c>
      <c r="BT22" s="8">
        <v>14026977</v>
      </c>
      <c r="BU22" s="8">
        <v>14501965</v>
      </c>
      <c r="BV22" s="8">
        <v>15183744</v>
      </c>
      <c r="BW22" s="8">
        <v>15157017</v>
      </c>
      <c r="BX22" s="8">
        <v>15157017</v>
      </c>
    </row>
    <row r="23" spans="1:76" ht="14" x14ac:dyDescent="0.2">
      <c r="A23" s="6" t="s">
        <v>97</v>
      </c>
      <c r="B23" s="5" t="s">
        <v>81</v>
      </c>
      <c r="C23" s="7">
        <v>2155298</v>
      </c>
      <c r="D23" s="7">
        <v>2244085</v>
      </c>
      <c r="E23" s="7">
        <v>2325373</v>
      </c>
      <c r="F23" s="7">
        <v>2404229</v>
      </c>
      <c r="G23" s="7">
        <v>2485849</v>
      </c>
      <c r="H23" s="7">
        <v>2569795</v>
      </c>
      <c r="I23" s="7">
        <v>2651025</v>
      </c>
      <c r="J23" s="7">
        <v>2750844</v>
      </c>
      <c r="K23" s="7">
        <v>2846076</v>
      </c>
      <c r="L23" s="7">
        <v>2969475</v>
      </c>
      <c r="M23" s="7">
        <v>3080443</v>
      </c>
      <c r="N23" s="7">
        <v>3178576</v>
      </c>
      <c r="O23" s="7">
        <v>3265924</v>
      </c>
      <c r="P23" s="7">
        <v>3342466</v>
      </c>
      <c r="Q23" s="7">
        <v>3428856</v>
      </c>
      <c r="R23" s="7">
        <v>3511791</v>
      </c>
      <c r="S23" s="7">
        <v>3599591</v>
      </c>
      <c r="T23" s="7">
        <v>3696716</v>
      </c>
      <c r="U23" s="7">
        <v>3780082</v>
      </c>
      <c r="V23" s="7">
        <v>3844266</v>
      </c>
      <c r="W23" s="7">
        <v>3870964</v>
      </c>
      <c r="X23" s="7">
        <v>3986421</v>
      </c>
      <c r="Y23" s="7">
        <v>4051328</v>
      </c>
      <c r="Z23" s="7">
        <v>4065467</v>
      </c>
      <c r="AA23" s="7">
        <v>4126390</v>
      </c>
      <c r="AB23" s="7">
        <v>4246056</v>
      </c>
      <c r="AC23" s="7">
        <v>4345174</v>
      </c>
      <c r="AD23" s="7">
        <v>4415011</v>
      </c>
      <c r="AE23" s="7">
        <v>4571175</v>
      </c>
      <c r="AF23" s="7">
        <v>4723571</v>
      </c>
      <c r="AG23" s="7">
        <v>4829832</v>
      </c>
      <c r="AH23" s="7">
        <v>4958171</v>
      </c>
      <c r="AI23" s="7">
        <v>5097126</v>
      </c>
      <c r="AJ23" s="7">
        <v>5237168</v>
      </c>
      <c r="AK23" s="7">
        <v>5374013</v>
      </c>
      <c r="AL23" s="7">
        <v>5510861</v>
      </c>
      <c r="AM23" s="7">
        <v>5645681</v>
      </c>
      <c r="AN23" s="7">
        <v>5782073</v>
      </c>
      <c r="AO23" s="7">
        <v>5907884</v>
      </c>
      <c r="AP23" s="7">
        <v>6027264</v>
      </c>
      <c r="AQ23" s="7">
        <v>6146996</v>
      </c>
      <c r="AR23" s="7">
        <v>6282068</v>
      </c>
      <c r="AS23" s="7">
        <v>6400645</v>
      </c>
      <c r="AT23" s="7">
        <v>6487199</v>
      </c>
      <c r="AU23" s="7">
        <v>6591562</v>
      </c>
      <c r="AV23" s="7">
        <v>6707882</v>
      </c>
      <c r="AW23" s="7">
        <v>6903688</v>
      </c>
      <c r="AX23" s="7">
        <v>7098830</v>
      </c>
      <c r="AY23" s="7">
        <v>7228118</v>
      </c>
      <c r="AZ23" s="7">
        <v>7342606</v>
      </c>
      <c r="BA23" s="7">
        <v>7438619</v>
      </c>
      <c r="BB23" s="7">
        <v>7455413</v>
      </c>
      <c r="BC23" s="7">
        <v>7470461</v>
      </c>
      <c r="BD23" s="7">
        <v>7497842</v>
      </c>
      <c r="BE23" s="7">
        <v>7461399</v>
      </c>
      <c r="BF23" s="7">
        <v>7463609</v>
      </c>
      <c r="BG23" s="7">
        <v>7447034</v>
      </c>
      <c r="BH23" s="7">
        <v>7400363</v>
      </c>
      <c r="BI23" s="7">
        <v>7345743</v>
      </c>
      <c r="BJ23" s="7">
        <v>7295064</v>
      </c>
      <c r="BK23" s="7">
        <v>7319829</v>
      </c>
      <c r="BL23" s="7">
        <v>7389077</v>
      </c>
      <c r="BM23" s="7">
        <v>7494526</v>
      </c>
      <c r="BN23" s="7">
        <v>7681796</v>
      </c>
      <c r="BO23" s="7">
        <v>7916373</v>
      </c>
      <c r="BP23" s="7">
        <v>8110827</v>
      </c>
      <c r="BQ23" s="7">
        <v>8363727</v>
      </c>
      <c r="BR23" s="7">
        <v>8722692</v>
      </c>
      <c r="BS23" s="7">
        <v>9250179</v>
      </c>
      <c r="BT23" s="7">
        <v>9650824</v>
      </c>
      <c r="BU23" s="7">
        <v>9682949</v>
      </c>
      <c r="BV23" s="7">
        <v>9917064</v>
      </c>
      <c r="BW23" s="7">
        <v>10861000</v>
      </c>
      <c r="BX23" s="7">
        <v>10861000</v>
      </c>
    </row>
    <row r="24" spans="1:76" ht="14" x14ac:dyDescent="0.2">
      <c r="A24" s="6" t="s">
        <v>98</v>
      </c>
      <c r="B24" s="5" t="s">
        <v>81</v>
      </c>
      <c r="C24" s="8">
        <v>1159489</v>
      </c>
      <c r="D24" s="8">
        <v>1189322</v>
      </c>
      <c r="E24" s="8">
        <v>1223250</v>
      </c>
      <c r="F24" s="8">
        <v>1264338</v>
      </c>
      <c r="G24" s="8">
        <v>1315870</v>
      </c>
      <c r="H24" s="8">
        <v>1372733</v>
      </c>
      <c r="I24" s="8">
        <v>1429354</v>
      </c>
      <c r="J24" s="8">
        <v>1480018</v>
      </c>
      <c r="K24" s="8">
        <v>1518994</v>
      </c>
      <c r="L24" s="8">
        <v>1558852</v>
      </c>
      <c r="M24" s="8">
        <v>1601061</v>
      </c>
      <c r="N24" s="8">
        <v>1677292</v>
      </c>
      <c r="O24" s="8">
        <v>1751309</v>
      </c>
      <c r="P24" s="8">
        <v>1820994</v>
      </c>
      <c r="Q24" s="8">
        <v>1898888</v>
      </c>
      <c r="R24" s="8">
        <v>1970845</v>
      </c>
      <c r="S24" s="8">
        <v>2038407</v>
      </c>
      <c r="T24" s="8">
        <v>2105977</v>
      </c>
      <c r="U24" s="8">
        <v>2165608</v>
      </c>
      <c r="V24" s="8">
        <v>2227678</v>
      </c>
      <c r="W24" s="8">
        <v>2312282</v>
      </c>
      <c r="X24" s="8">
        <v>2404070</v>
      </c>
      <c r="Y24" s="8">
        <v>2503713</v>
      </c>
      <c r="Z24" s="8">
        <v>2605660</v>
      </c>
      <c r="AA24" s="8">
        <v>2654562</v>
      </c>
      <c r="AB24" s="8">
        <v>2712181</v>
      </c>
      <c r="AC24" s="8">
        <v>2800039</v>
      </c>
      <c r="AD24" s="8">
        <v>2847062</v>
      </c>
      <c r="AE24" s="8">
        <v>2840641</v>
      </c>
      <c r="AF24" s="8">
        <v>2875200</v>
      </c>
      <c r="AG24" s="8">
        <v>2955279</v>
      </c>
      <c r="AH24" s="8">
        <v>3023581</v>
      </c>
      <c r="AI24" s="8">
        <v>3105748</v>
      </c>
      <c r="AJ24" s="8">
        <v>3191634</v>
      </c>
      <c r="AK24" s="8">
        <v>3282264</v>
      </c>
      <c r="AL24" s="8">
        <v>3379386</v>
      </c>
      <c r="AM24" s="8">
        <v>3482609</v>
      </c>
      <c r="AN24" s="8">
        <v>3594383</v>
      </c>
      <c r="AO24" s="8">
        <v>3704158</v>
      </c>
      <c r="AP24" s="8">
        <v>3822646</v>
      </c>
      <c r="AQ24" s="8">
        <v>3936697</v>
      </c>
      <c r="AR24" s="8">
        <v>4046513</v>
      </c>
      <c r="AS24" s="8">
        <v>4154670</v>
      </c>
      <c r="AT24" s="8">
        <v>4276427</v>
      </c>
      <c r="AU24" s="8">
        <v>4388418</v>
      </c>
      <c r="AV24" s="8">
        <v>4514612</v>
      </c>
      <c r="AW24" s="8">
        <v>4619981</v>
      </c>
      <c r="AX24" s="8">
        <v>4713381</v>
      </c>
      <c r="AY24" s="8">
        <v>4788259</v>
      </c>
      <c r="AZ24" s="8">
        <v>4882308</v>
      </c>
      <c r="BA24" s="8">
        <v>4984540</v>
      </c>
      <c r="BB24" s="8">
        <v>5138205</v>
      </c>
      <c r="BC24" s="8">
        <v>5294403</v>
      </c>
      <c r="BD24" s="8">
        <v>5398596</v>
      </c>
      <c r="BE24" s="8">
        <v>5528504</v>
      </c>
      <c r="BF24" s="8">
        <v>5611193</v>
      </c>
      <c r="BG24" s="8">
        <v>5648117</v>
      </c>
      <c r="BH24" s="8">
        <v>5687076</v>
      </c>
      <c r="BI24" s="8">
        <v>5730359</v>
      </c>
      <c r="BJ24" s="8">
        <v>5727711</v>
      </c>
      <c r="BK24" s="8">
        <v>5758473</v>
      </c>
      <c r="BL24" s="8">
        <v>5777780</v>
      </c>
      <c r="BM24" s="8">
        <v>5779258</v>
      </c>
      <c r="BN24" s="8">
        <v>5762340</v>
      </c>
      <c r="BO24" s="8">
        <v>5755948</v>
      </c>
      <c r="BP24" s="8">
        <v>5793729</v>
      </c>
      <c r="BQ24" s="8">
        <v>5868617</v>
      </c>
      <c r="BR24" s="8">
        <v>5959787</v>
      </c>
      <c r="BS24" s="8">
        <v>6121394</v>
      </c>
      <c r="BT24" s="8">
        <v>6315100</v>
      </c>
      <c r="BU24" s="8">
        <v>6288784</v>
      </c>
      <c r="BV24" s="8">
        <v>6422252</v>
      </c>
      <c r="BW24" s="8">
        <v>6659545</v>
      </c>
      <c r="BX24" s="8">
        <v>6659545</v>
      </c>
    </row>
    <row r="25" spans="1:76" ht="14" x14ac:dyDescent="0.2">
      <c r="A25" s="6" t="s">
        <v>99</v>
      </c>
      <c r="B25" s="5" t="s">
        <v>81</v>
      </c>
      <c r="C25" s="7">
        <v>589612</v>
      </c>
      <c r="D25" s="7">
        <v>627704</v>
      </c>
      <c r="E25" s="7">
        <v>665147</v>
      </c>
      <c r="F25" s="7">
        <v>700618</v>
      </c>
      <c r="G25" s="7">
        <v>738452</v>
      </c>
      <c r="H25" s="7">
        <v>775617</v>
      </c>
      <c r="I25" s="7">
        <v>804375</v>
      </c>
      <c r="J25" s="7">
        <v>837293</v>
      </c>
      <c r="K25" s="7">
        <v>864481</v>
      </c>
      <c r="L25" s="7">
        <v>901219</v>
      </c>
      <c r="M25" s="7">
        <v>940054</v>
      </c>
      <c r="N25" s="7">
        <v>964233</v>
      </c>
      <c r="O25" s="7">
        <v>982198</v>
      </c>
      <c r="P25" s="7">
        <v>1003418</v>
      </c>
      <c r="Q25" s="7">
        <v>1040022</v>
      </c>
      <c r="R25" s="7">
        <v>1081760</v>
      </c>
      <c r="S25" s="7">
        <v>1127697</v>
      </c>
      <c r="T25" s="7">
        <v>1186242</v>
      </c>
      <c r="U25" s="7">
        <v>1240679</v>
      </c>
      <c r="V25" s="7">
        <v>1307490</v>
      </c>
      <c r="W25" s="7">
        <v>1430493</v>
      </c>
      <c r="X25" s="7">
        <v>1487010</v>
      </c>
      <c r="Y25" s="7">
        <v>1542441</v>
      </c>
      <c r="Z25" s="7">
        <v>1606740</v>
      </c>
      <c r="AA25" s="7">
        <v>1706304</v>
      </c>
      <c r="AB25" s="7">
        <v>1821040</v>
      </c>
      <c r="AC25" s="7">
        <v>1896295</v>
      </c>
      <c r="AD25" s="7">
        <v>1991680</v>
      </c>
      <c r="AE25" s="7">
        <v>2094958</v>
      </c>
      <c r="AF25" s="7">
        <v>2196921</v>
      </c>
      <c r="AG25" s="7">
        <v>2271631</v>
      </c>
      <c r="AH25" s="7">
        <v>2349175</v>
      </c>
      <c r="AI25" s="7">
        <v>2436707</v>
      </c>
      <c r="AJ25" s="7">
        <v>2518435</v>
      </c>
      <c r="AK25" s="7">
        <v>2594641</v>
      </c>
      <c r="AL25" s="7">
        <v>2667272</v>
      </c>
      <c r="AM25" s="7">
        <v>2742048</v>
      </c>
      <c r="AN25" s="7">
        <v>2823030</v>
      </c>
      <c r="AO25" s="7">
        <v>2885260</v>
      </c>
      <c r="AP25" s="7">
        <v>2967744</v>
      </c>
      <c r="AQ25" s="7">
        <v>3059600</v>
      </c>
      <c r="AR25" s="7">
        <v>3189139</v>
      </c>
      <c r="AS25" s="7">
        <v>3314660</v>
      </c>
      <c r="AT25" s="7">
        <v>3445566</v>
      </c>
      <c r="AU25" s="7">
        <v>3561032</v>
      </c>
      <c r="AV25" s="7">
        <v>3680722</v>
      </c>
      <c r="AW25" s="7">
        <v>3794892</v>
      </c>
      <c r="AX25" s="7">
        <v>3905476</v>
      </c>
      <c r="AY25" s="7">
        <v>4032535</v>
      </c>
      <c r="AZ25" s="7">
        <v>4154018</v>
      </c>
      <c r="BA25" s="7">
        <v>4262472</v>
      </c>
      <c r="BB25" s="7">
        <v>4312494</v>
      </c>
      <c r="BC25" s="7">
        <v>4368808</v>
      </c>
      <c r="BD25" s="7">
        <v>4466176</v>
      </c>
      <c r="BE25" s="7">
        <v>4545883</v>
      </c>
      <c r="BF25" s="7">
        <v>4693299</v>
      </c>
      <c r="BG25" s="7">
        <v>4865929</v>
      </c>
      <c r="BH25" s="7">
        <v>5039545</v>
      </c>
      <c r="BI25" s="7">
        <v>5195840</v>
      </c>
      <c r="BJ25" s="7">
        <v>5367301</v>
      </c>
      <c r="BK25" s="7">
        <v>5543516</v>
      </c>
      <c r="BL25" s="7">
        <v>5697459</v>
      </c>
      <c r="BM25" s="7">
        <v>5865164</v>
      </c>
      <c r="BN25" s="7">
        <v>5993714</v>
      </c>
      <c r="BO25" s="7">
        <v>6133246</v>
      </c>
      <c r="BP25" s="7">
        <v>6263096</v>
      </c>
      <c r="BQ25" s="7">
        <v>6383008</v>
      </c>
      <c r="BR25" s="7">
        <v>6468926</v>
      </c>
      <c r="BS25" s="7">
        <v>6538026</v>
      </c>
      <c r="BT25" s="7">
        <v>6599467</v>
      </c>
      <c r="BU25" s="7">
        <v>6483182</v>
      </c>
      <c r="BV25" s="7">
        <v>6467137</v>
      </c>
      <c r="BW25" s="7">
        <v>6485868</v>
      </c>
      <c r="BX25" s="7">
        <v>6485868</v>
      </c>
    </row>
    <row r="26" spans="1:76" ht="14" x14ac:dyDescent="0.2">
      <c r="A26" s="6" t="s">
        <v>100</v>
      </c>
      <c r="B26" s="5" t="s">
        <v>81</v>
      </c>
      <c r="C26" s="8">
        <v>34104228</v>
      </c>
      <c r="D26" s="8">
        <v>34851239</v>
      </c>
      <c r="E26" s="8">
        <v>35553608</v>
      </c>
      <c r="F26" s="8">
        <v>36275608</v>
      </c>
      <c r="G26" s="8">
        <v>37067473</v>
      </c>
      <c r="H26" s="8">
        <v>37871682</v>
      </c>
      <c r="I26" s="8">
        <v>38670951</v>
      </c>
      <c r="J26" s="8">
        <v>39486089</v>
      </c>
      <c r="K26" s="8">
        <v>40258158</v>
      </c>
      <c r="L26" s="8">
        <v>41114953</v>
      </c>
      <c r="M26" s="8">
        <v>41964156</v>
      </c>
      <c r="N26" s="8">
        <v>42812892</v>
      </c>
      <c r="O26" s="8">
        <v>43639100</v>
      </c>
      <c r="P26" s="8">
        <v>44409484</v>
      </c>
      <c r="Q26" s="8">
        <v>45214525</v>
      </c>
      <c r="R26" s="8">
        <v>45987327</v>
      </c>
      <c r="S26" s="8">
        <v>46743746</v>
      </c>
      <c r="T26" s="8">
        <v>47523564</v>
      </c>
      <c r="U26" s="8">
        <v>48279885</v>
      </c>
      <c r="V26" s="8">
        <v>49045479</v>
      </c>
      <c r="W26" s="8">
        <v>49954689</v>
      </c>
      <c r="X26" s="8">
        <v>50900451</v>
      </c>
      <c r="Y26" s="8">
        <v>51884081</v>
      </c>
      <c r="Z26" s="8">
        <v>52799925</v>
      </c>
      <c r="AA26" s="8">
        <v>53734859</v>
      </c>
      <c r="AB26" s="8">
        <v>54713582</v>
      </c>
      <c r="AC26" s="8">
        <v>55634135</v>
      </c>
      <c r="AD26" s="8">
        <v>56540714</v>
      </c>
      <c r="AE26" s="8">
        <v>57430013</v>
      </c>
      <c r="AF26" s="8">
        <v>58306640</v>
      </c>
      <c r="AG26" s="8">
        <v>59156221</v>
      </c>
      <c r="AH26" s="8">
        <v>59729251</v>
      </c>
      <c r="AI26" s="8">
        <v>60231204</v>
      </c>
      <c r="AJ26" s="8">
        <v>60627128</v>
      </c>
      <c r="AK26" s="8">
        <v>60988314</v>
      </c>
      <c r="AL26" s="8">
        <v>61404968</v>
      </c>
      <c r="AM26" s="8">
        <v>61782661</v>
      </c>
      <c r="AN26" s="8">
        <v>62178578</v>
      </c>
      <c r="AO26" s="8">
        <v>62632091</v>
      </c>
      <c r="AP26" s="8">
        <v>63134703</v>
      </c>
      <c r="AQ26" s="8">
        <v>63726682</v>
      </c>
      <c r="AR26" s="8">
        <v>64548545</v>
      </c>
      <c r="AS26" s="8">
        <v>65489072</v>
      </c>
      <c r="AT26" s="8">
        <v>66780907</v>
      </c>
      <c r="AU26" s="8">
        <v>67852131</v>
      </c>
      <c r="AV26" s="8">
        <v>68945824</v>
      </c>
      <c r="AW26" s="8">
        <v>69922474</v>
      </c>
      <c r="AX26" s="8">
        <v>71991740</v>
      </c>
      <c r="AY26" s="8">
        <v>73747808</v>
      </c>
      <c r="AZ26" s="8">
        <v>75499479</v>
      </c>
      <c r="BA26" s="8">
        <v>77278081</v>
      </c>
      <c r="BB26" s="8">
        <v>79082871</v>
      </c>
      <c r="BC26" s="8">
        <v>80965445</v>
      </c>
      <c r="BD26" s="8">
        <v>82969752</v>
      </c>
      <c r="BE26" s="8">
        <v>85073291</v>
      </c>
      <c r="BF26" s="8">
        <v>87370028</v>
      </c>
      <c r="BG26" s="8">
        <v>89665093</v>
      </c>
      <c r="BH26" s="8">
        <v>92094323</v>
      </c>
      <c r="BI26" s="8">
        <v>94574158</v>
      </c>
      <c r="BJ26" s="8">
        <v>97033618</v>
      </c>
      <c r="BK26" s="8">
        <v>99612639</v>
      </c>
      <c r="BL26" s="8">
        <v>101983401</v>
      </c>
      <c r="BM26" s="8">
        <v>104279731</v>
      </c>
      <c r="BN26" s="8">
        <v>106458378</v>
      </c>
      <c r="BO26" s="8">
        <v>108656053</v>
      </c>
      <c r="BP26" s="8">
        <v>110653611</v>
      </c>
      <c r="BQ26" s="8">
        <v>112396585</v>
      </c>
      <c r="BR26" s="8">
        <v>113961090</v>
      </c>
      <c r="BS26" s="8">
        <v>115430105</v>
      </c>
      <c r="BT26" s="8">
        <v>116937844</v>
      </c>
      <c r="BU26" s="8">
        <v>118338417</v>
      </c>
      <c r="BV26" s="8">
        <v>119619636</v>
      </c>
      <c r="BW26" s="8">
        <v>120687836</v>
      </c>
      <c r="BX26" s="8">
        <v>120687836</v>
      </c>
    </row>
    <row r="27" spans="1:76" ht="14" x14ac:dyDescent="0.2">
      <c r="A27" s="6" t="s">
        <v>101</v>
      </c>
      <c r="B27" s="5" t="s">
        <v>81</v>
      </c>
      <c r="C27" s="7">
        <v>51672556</v>
      </c>
      <c r="D27" s="7">
        <v>53058420</v>
      </c>
      <c r="E27" s="7">
        <v>54620574</v>
      </c>
      <c r="F27" s="7">
        <v>56325517</v>
      </c>
      <c r="G27" s="7">
        <v>58173983</v>
      </c>
      <c r="H27" s="7">
        <v>59992238</v>
      </c>
      <c r="I27" s="7">
        <v>61913581</v>
      </c>
      <c r="J27" s="7">
        <v>63961650</v>
      </c>
      <c r="K27" s="7">
        <v>65874623</v>
      </c>
      <c r="L27" s="7">
        <v>67758164</v>
      </c>
      <c r="M27" s="7">
        <v>69518924</v>
      </c>
      <c r="N27" s="7">
        <v>71312828</v>
      </c>
      <c r="O27" s="7">
        <v>72854210</v>
      </c>
      <c r="P27" s="7">
        <v>73974260</v>
      </c>
      <c r="Q27" s="7">
        <v>75197910</v>
      </c>
      <c r="R27" s="7">
        <v>76277019</v>
      </c>
      <c r="S27" s="7">
        <v>77220958</v>
      </c>
      <c r="T27" s="7">
        <v>77006218</v>
      </c>
      <c r="U27" s="7">
        <v>76988347</v>
      </c>
      <c r="V27" s="7">
        <v>77015482</v>
      </c>
      <c r="W27" s="7">
        <v>77271568</v>
      </c>
      <c r="X27" s="7">
        <v>77522944</v>
      </c>
      <c r="Y27" s="7">
        <v>77342782</v>
      </c>
      <c r="Z27" s="7">
        <v>76878123</v>
      </c>
      <c r="AA27" s="7">
        <v>76244080</v>
      </c>
      <c r="AB27" s="7">
        <v>75646327</v>
      </c>
      <c r="AC27" s="7">
        <v>74910118</v>
      </c>
      <c r="AD27" s="7">
        <v>74137645</v>
      </c>
      <c r="AE27" s="7">
        <v>73450719</v>
      </c>
      <c r="AF27" s="7">
        <v>72856566</v>
      </c>
      <c r="AG27" s="7">
        <v>72400812</v>
      </c>
      <c r="AH27" s="7">
        <v>71793804</v>
      </c>
      <c r="AI27" s="7">
        <v>71292036</v>
      </c>
      <c r="AJ27" s="7">
        <v>70856621</v>
      </c>
      <c r="AK27" s="7">
        <v>70413736</v>
      </c>
      <c r="AL27" s="7">
        <v>70261149</v>
      </c>
      <c r="AM27" s="7">
        <v>70347708</v>
      </c>
      <c r="AN27" s="7">
        <v>70557615</v>
      </c>
      <c r="AO27" s="7">
        <v>70947300</v>
      </c>
      <c r="AP27" s="7">
        <v>71354790</v>
      </c>
      <c r="AQ27" s="7">
        <v>71917673</v>
      </c>
      <c r="AR27" s="7">
        <v>72515411</v>
      </c>
      <c r="AS27" s="7">
        <v>73451148</v>
      </c>
      <c r="AT27" s="7">
        <v>74570487</v>
      </c>
      <c r="AU27" s="7">
        <v>75678636</v>
      </c>
      <c r="AV27" s="7">
        <v>76645723</v>
      </c>
      <c r="AW27" s="7">
        <v>77624071</v>
      </c>
      <c r="AX27" s="7">
        <v>78485091</v>
      </c>
      <c r="AY27" s="7">
        <v>79320164</v>
      </c>
      <c r="AZ27" s="7">
        <v>80039970</v>
      </c>
      <c r="BA27" s="7">
        <v>80574796</v>
      </c>
      <c r="BB27" s="7">
        <v>80906541</v>
      </c>
      <c r="BC27" s="7">
        <v>81173400</v>
      </c>
      <c r="BD27" s="7">
        <v>81425816</v>
      </c>
      <c r="BE27" s="7">
        <v>81754354</v>
      </c>
      <c r="BF27" s="7">
        <v>82005260</v>
      </c>
      <c r="BG27" s="7">
        <v>82324418</v>
      </c>
      <c r="BH27" s="7">
        <v>82749431</v>
      </c>
      <c r="BI27" s="7">
        <v>83118264</v>
      </c>
      <c r="BJ27" s="7">
        <v>83280391</v>
      </c>
      <c r="BK27" s="7">
        <v>83184292</v>
      </c>
      <c r="BL27" s="7">
        <v>82838469</v>
      </c>
      <c r="BM27" s="7">
        <v>82501478</v>
      </c>
      <c r="BN27" s="7">
        <v>82271238</v>
      </c>
      <c r="BO27" s="7">
        <v>82139198</v>
      </c>
      <c r="BP27" s="7">
        <v>82120410</v>
      </c>
      <c r="BQ27" s="7">
        <v>82161437</v>
      </c>
      <c r="BR27" s="7">
        <v>82114364</v>
      </c>
      <c r="BS27" s="7">
        <v>81956393</v>
      </c>
      <c r="BT27" s="7">
        <v>81679568</v>
      </c>
      <c r="BU27" s="7">
        <v>82523116</v>
      </c>
      <c r="BV27" s="7">
        <v>81499734</v>
      </c>
      <c r="BW27" s="7">
        <v>81073179</v>
      </c>
      <c r="BX27" s="7">
        <v>81073179</v>
      </c>
    </row>
    <row r="28" spans="1:76" ht="14" x14ac:dyDescent="0.2">
      <c r="A28" s="6" t="s">
        <v>102</v>
      </c>
      <c r="B28" s="5" t="s">
        <v>81</v>
      </c>
      <c r="C28" s="8">
        <v>98877090</v>
      </c>
      <c r="D28" s="8">
        <v>99574268</v>
      </c>
      <c r="E28" s="8">
        <v>100263954</v>
      </c>
      <c r="F28" s="8">
        <v>100925383</v>
      </c>
      <c r="G28" s="8">
        <v>101670183</v>
      </c>
      <c r="H28" s="8">
        <v>102452664</v>
      </c>
      <c r="I28" s="8">
        <v>103392253</v>
      </c>
      <c r="J28" s="8">
        <v>104432809</v>
      </c>
      <c r="K28" s="8">
        <v>105702428</v>
      </c>
      <c r="L28" s="8">
        <v>106842482</v>
      </c>
      <c r="M28" s="8">
        <v>107919380</v>
      </c>
      <c r="N28" s="8">
        <v>109048592</v>
      </c>
      <c r="O28" s="8">
        <v>111177283</v>
      </c>
      <c r="P28" s="8">
        <v>112998921</v>
      </c>
      <c r="Q28" s="8">
        <v>114814396</v>
      </c>
      <c r="R28" s="8">
        <v>116601282</v>
      </c>
      <c r="S28" s="8">
        <v>118546048</v>
      </c>
      <c r="T28" s="8">
        <v>120582198</v>
      </c>
      <c r="U28" s="8">
        <v>122655930</v>
      </c>
      <c r="V28" s="8">
        <v>124737218</v>
      </c>
      <c r="W28" s="8">
        <v>127006974</v>
      </c>
      <c r="X28" s="8">
        <v>129364781</v>
      </c>
      <c r="Y28" s="8">
        <v>131829332</v>
      </c>
      <c r="Z28" s="8">
        <v>134224574</v>
      </c>
      <c r="AA28" s="8">
        <v>136589963</v>
      </c>
      <c r="AB28" s="8">
        <v>138915403</v>
      </c>
      <c r="AC28" s="8">
        <v>141381086</v>
      </c>
      <c r="AD28" s="8">
        <v>143750254</v>
      </c>
      <c r="AE28" s="8">
        <v>146127901</v>
      </c>
      <c r="AF28" s="8">
        <v>148467087</v>
      </c>
      <c r="AG28" s="8">
        <v>150227353</v>
      </c>
      <c r="AH28" s="8">
        <v>151991670</v>
      </c>
      <c r="AI28" s="8">
        <v>153546625</v>
      </c>
      <c r="AJ28" s="8">
        <v>154962661</v>
      </c>
      <c r="AK28" s="8">
        <v>156464290</v>
      </c>
      <c r="AL28" s="8">
        <v>157973705</v>
      </c>
      <c r="AM28" s="8">
        <v>159590157</v>
      </c>
      <c r="AN28" s="8">
        <v>160803443</v>
      </c>
      <c r="AO28" s="8">
        <v>161924416</v>
      </c>
      <c r="AP28" s="8">
        <v>162915787</v>
      </c>
      <c r="AQ28" s="8">
        <v>164229455</v>
      </c>
      <c r="AR28" s="8">
        <v>165924186</v>
      </c>
      <c r="AS28" s="8">
        <v>167953322</v>
      </c>
      <c r="AT28" s="8">
        <v>169920143</v>
      </c>
      <c r="AU28" s="8">
        <v>171992191</v>
      </c>
      <c r="AV28" s="8">
        <v>174237364</v>
      </c>
      <c r="AW28" s="8">
        <v>176547324</v>
      </c>
      <c r="AX28" s="8">
        <v>179157964</v>
      </c>
      <c r="AY28" s="8">
        <v>181754513</v>
      </c>
      <c r="AZ28" s="8">
        <v>184286959</v>
      </c>
      <c r="BA28" s="8">
        <v>186813002</v>
      </c>
      <c r="BB28" s="8">
        <v>189228407</v>
      </c>
      <c r="BC28" s="8">
        <v>191539956</v>
      </c>
      <c r="BD28" s="8">
        <v>193615754</v>
      </c>
      <c r="BE28" s="8">
        <v>195950177</v>
      </c>
      <c r="BF28" s="8">
        <v>198347755</v>
      </c>
      <c r="BG28" s="8">
        <v>200699096</v>
      </c>
      <c r="BH28" s="8">
        <v>202723881</v>
      </c>
      <c r="BI28" s="8">
        <v>204408961</v>
      </c>
      <c r="BJ28" s="8">
        <v>206060773</v>
      </c>
      <c r="BK28" s="8">
        <v>207646471</v>
      </c>
      <c r="BL28" s="8">
        <v>209055864</v>
      </c>
      <c r="BM28" s="8">
        <v>209617993</v>
      </c>
      <c r="BN28" s="8">
        <v>210339848</v>
      </c>
      <c r="BO28" s="8">
        <v>211146488</v>
      </c>
      <c r="BP28" s="8">
        <v>212052986</v>
      </c>
      <c r="BQ28" s="8">
        <v>212841982</v>
      </c>
      <c r="BR28" s="8">
        <v>213355711</v>
      </c>
      <c r="BS28" s="8">
        <v>213604267</v>
      </c>
      <c r="BT28" s="8">
        <v>213680073</v>
      </c>
      <c r="BU28" s="8">
        <v>216094666</v>
      </c>
      <c r="BV28" s="8">
        <v>215873991</v>
      </c>
      <c r="BW28" s="8">
        <v>216055318</v>
      </c>
      <c r="BX28" s="8">
        <v>216055318</v>
      </c>
    </row>
    <row r="29" spans="1:76" ht="14" x14ac:dyDescent="0.2">
      <c r="A29" s="6" t="s">
        <v>103</v>
      </c>
      <c r="B29" s="5" t="s">
        <v>81</v>
      </c>
      <c r="C29" s="7">
        <v>88201685</v>
      </c>
      <c r="D29" s="7">
        <v>89016908</v>
      </c>
      <c r="E29" s="7">
        <v>89728775</v>
      </c>
      <c r="F29" s="7">
        <v>90241616</v>
      </c>
      <c r="G29" s="7">
        <v>90776042</v>
      </c>
      <c r="H29" s="7">
        <v>91413494</v>
      </c>
      <c r="I29" s="7">
        <v>92051791</v>
      </c>
      <c r="J29" s="7">
        <v>92634660</v>
      </c>
      <c r="K29" s="7">
        <v>93201205</v>
      </c>
      <c r="L29" s="7">
        <v>93823541</v>
      </c>
      <c r="M29" s="7">
        <v>94477203</v>
      </c>
      <c r="N29" s="7">
        <v>95289443</v>
      </c>
      <c r="O29" s="7">
        <v>96226924</v>
      </c>
      <c r="P29" s="7">
        <v>97489881</v>
      </c>
      <c r="Q29" s="7">
        <v>98564183</v>
      </c>
      <c r="R29" s="7">
        <v>99574551</v>
      </c>
      <c r="S29" s="7">
        <v>100584249</v>
      </c>
      <c r="T29" s="7">
        <v>102634423</v>
      </c>
      <c r="U29" s="7">
        <v>104352588</v>
      </c>
      <c r="V29" s="7">
        <v>105980999</v>
      </c>
      <c r="W29" s="7">
        <v>107673877</v>
      </c>
      <c r="X29" s="7">
        <v>109576273</v>
      </c>
      <c r="Y29" s="7">
        <v>111533418</v>
      </c>
      <c r="Z29" s="7">
        <v>113505731</v>
      </c>
      <c r="AA29" s="7">
        <v>115548365</v>
      </c>
      <c r="AB29" s="7">
        <v>117630577</v>
      </c>
      <c r="AC29" s="7">
        <v>119846945</v>
      </c>
      <c r="AD29" s="7">
        <v>122209935</v>
      </c>
      <c r="AE29" s="7">
        <v>124631775</v>
      </c>
      <c r="AF29" s="7">
        <v>127065177</v>
      </c>
      <c r="AG29" s="7">
        <v>129116413</v>
      </c>
      <c r="AH29" s="7">
        <v>131451113</v>
      </c>
      <c r="AI29" s="7">
        <v>133584941</v>
      </c>
      <c r="AJ29" s="7">
        <v>135574700</v>
      </c>
      <c r="AK29" s="7">
        <v>137533659</v>
      </c>
      <c r="AL29" s="7">
        <v>139246467</v>
      </c>
      <c r="AM29" s="7">
        <v>140777582</v>
      </c>
      <c r="AN29" s="7">
        <v>142105137</v>
      </c>
      <c r="AO29" s="7">
        <v>143428075</v>
      </c>
      <c r="AP29" s="7">
        <v>144782684</v>
      </c>
      <c r="AQ29" s="7">
        <v>146457862</v>
      </c>
      <c r="AR29" s="7">
        <v>148653906</v>
      </c>
      <c r="AS29" s="7">
        <v>150707082</v>
      </c>
      <c r="AT29" s="7">
        <v>152446290</v>
      </c>
      <c r="AU29" s="7">
        <v>154116382</v>
      </c>
      <c r="AV29" s="7">
        <v>155863366</v>
      </c>
      <c r="AW29" s="7">
        <v>157627164</v>
      </c>
      <c r="AX29" s="7">
        <v>159760273</v>
      </c>
      <c r="AY29" s="7">
        <v>161914781</v>
      </c>
      <c r="AZ29" s="7">
        <v>164202357</v>
      </c>
      <c r="BA29" s="7">
        <v>166518047</v>
      </c>
      <c r="BB29" s="7">
        <v>168772123</v>
      </c>
      <c r="BC29" s="7">
        <v>170929586</v>
      </c>
      <c r="BD29" s="7">
        <v>172818588</v>
      </c>
      <c r="BE29" s="7">
        <v>174847625</v>
      </c>
      <c r="BF29" s="7">
        <v>176861541</v>
      </c>
      <c r="BG29" s="7">
        <v>178891387</v>
      </c>
      <c r="BH29" s="7">
        <v>180656065</v>
      </c>
      <c r="BI29" s="7">
        <v>182198081</v>
      </c>
      <c r="BJ29" s="7">
        <v>183867963</v>
      </c>
      <c r="BK29" s="7">
        <v>185664602</v>
      </c>
      <c r="BL29" s="7">
        <v>187394121</v>
      </c>
      <c r="BM29" s="7">
        <v>188243973</v>
      </c>
      <c r="BN29" s="7">
        <v>189156372</v>
      </c>
      <c r="BO29" s="7">
        <v>190086126</v>
      </c>
      <c r="BP29" s="7">
        <v>190962714</v>
      </c>
      <c r="BQ29" s="7">
        <v>191701839</v>
      </c>
      <c r="BR29" s="7">
        <v>192250125</v>
      </c>
      <c r="BS29" s="7">
        <v>192527201</v>
      </c>
      <c r="BT29" s="7">
        <v>192613650</v>
      </c>
      <c r="BU29" s="7">
        <v>194161873</v>
      </c>
      <c r="BV29" s="7">
        <v>194302694</v>
      </c>
      <c r="BW29" s="7">
        <v>194419526</v>
      </c>
      <c r="BX29" s="7">
        <v>194419526</v>
      </c>
    </row>
    <row r="30" spans="1:76" ht="14" x14ac:dyDescent="0.2">
      <c r="A30" s="6" t="s">
        <v>104</v>
      </c>
      <c r="B30" s="5" t="s">
        <v>81</v>
      </c>
      <c r="C30" s="8">
        <v>12397176</v>
      </c>
      <c r="D30" s="8">
        <v>12802561</v>
      </c>
      <c r="E30" s="8">
        <v>13203391</v>
      </c>
      <c r="F30" s="8">
        <v>13617059</v>
      </c>
      <c r="G30" s="8">
        <v>14075829</v>
      </c>
      <c r="H30" s="8">
        <v>14525470</v>
      </c>
      <c r="I30" s="8">
        <v>14937659</v>
      </c>
      <c r="J30" s="8">
        <v>15387820</v>
      </c>
      <c r="K30" s="8">
        <v>15806076</v>
      </c>
      <c r="L30" s="8">
        <v>16247923</v>
      </c>
      <c r="M30" s="8">
        <v>16675031</v>
      </c>
      <c r="N30" s="8">
        <v>17089210</v>
      </c>
      <c r="O30" s="8">
        <v>17456603</v>
      </c>
      <c r="P30" s="8">
        <v>17777657</v>
      </c>
      <c r="Q30" s="8">
        <v>18126698</v>
      </c>
      <c r="R30" s="8">
        <v>18451393</v>
      </c>
      <c r="S30" s="8">
        <v>18755131</v>
      </c>
      <c r="T30" s="8">
        <v>19071415</v>
      </c>
      <c r="U30" s="8">
        <v>19365117</v>
      </c>
      <c r="V30" s="8">
        <v>19680465</v>
      </c>
      <c r="W30" s="8">
        <v>20106729</v>
      </c>
      <c r="X30" s="8">
        <v>20561460</v>
      </c>
      <c r="Y30" s="8">
        <v>21019821</v>
      </c>
      <c r="Z30" s="8">
        <v>21524934</v>
      </c>
      <c r="AA30" s="8">
        <v>22061483</v>
      </c>
      <c r="AB30" s="8">
        <v>22696295</v>
      </c>
      <c r="AC30" s="8">
        <v>23278101</v>
      </c>
      <c r="AD30" s="8">
        <v>23891845</v>
      </c>
      <c r="AE30" s="8">
        <v>24502051</v>
      </c>
      <c r="AF30" s="8">
        <v>25133744</v>
      </c>
      <c r="AG30" s="8">
        <v>25707456</v>
      </c>
      <c r="AH30" s="8">
        <v>26220797</v>
      </c>
      <c r="AI30" s="8">
        <v>26787481</v>
      </c>
      <c r="AJ30" s="8">
        <v>27360673</v>
      </c>
      <c r="AK30" s="8">
        <v>27877507</v>
      </c>
      <c r="AL30" s="8">
        <v>28416179</v>
      </c>
      <c r="AM30" s="8">
        <v>29007597</v>
      </c>
      <c r="AN30" s="8">
        <v>29626166</v>
      </c>
      <c r="AO30" s="8">
        <v>30123607</v>
      </c>
      <c r="AP30" s="8">
        <v>30681756</v>
      </c>
      <c r="AQ30" s="8">
        <v>31247279</v>
      </c>
      <c r="AR30" s="8">
        <v>31811624</v>
      </c>
      <c r="AS30" s="8">
        <v>32355994</v>
      </c>
      <c r="AT30" s="8">
        <v>32901811</v>
      </c>
      <c r="AU30" s="8">
        <v>33330803</v>
      </c>
      <c r="AV30" s="8">
        <v>33769304</v>
      </c>
      <c r="AW30" s="8">
        <v>34143049</v>
      </c>
      <c r="AX30" s="8">
        <v>34401561</v>
      </c>
      <c r="AY30" s="8">
        <v>34619159</v>
      </c>
      <c r="AZ30" s="8">
        <v>34797841</v>
      </c>
      <c r="BA30" s="8">
        <v>35069568</v>
      </c>
      <c r="BB30" s="8">
        <v>35290291</v>
      </c>
      <c r="BC30" s="8">
        <v>35522207</v>
      </c>
      <c r="BD30" s="8">
        <v>35863529</v>
      </c>
      <c r="BE30" s="8">
        <v>36203319</v>
      </c>
      <c r="BF30" s="8">
        <v>36649798</v>
      </c>
      <c r="BG30" s="8">
        <v>37164107</v>
      </c>
      <c r="BH30" s="8">
        <v>37825711</v>
      </c>
      <c r="BI30" s="8">
        <v>38777621</v>
      </c>
      <c r="BJ30" s="8">
        <v>39623175</v>
      </c>
      <c r="BK30" s="8">
        <v>40478249</v>
      </c>
      <c r="BL30" s="8">
        <v>41350891</v>
      </c>
      <c r="BM30" s="8">
        <v>43132211</v>
      </c>
      <c r="BN30" s="8">
        <v>44632337</v>
      </c>
      <c r="BO30" s="8">
        <v>46161005</v>
      </c>
      <c r="BP30" s="8">
        <v>47655870</v>
      </c>
      <c r="BQ30" s="8">
        <v>49208479</v>
      </c>
      <c r="BR30" s="8">
        <v>50757639</v>
      </c>
      <c r="BS30" s="8">
        <v>52354605</v>
      </c>
      <c r="BT30" s="8">
        <v>54036735</v>
      </c>
      <c r="BU30" s="8">
        <v>54826523</v>
      </c>
      <c r="BV30" s="8">
        <v>56229126</v>
      </c>
      <c r="BW30" s="8">
        <v>57794852</v>
      </c>
      <c r="BX30" s="8">
        <v>57794852</v>
      </c>
    </row>
    <row r="31" spans="1:76" ht="14" x14ac:dyDescent="0.2">
      <c r="A31" s="6" t="s">
        <v>105</v>
      </c>
      <c r="B31" s="5" t="s">
        <v>81</v>
      </c>
      <c r="C31" s="7">
        <v>26.923733821955601</v>
      </c>
      <c r="D31" s="7">
        <v>27.441657601621898</v>
      </c>
      <c r="E31" s="7">
        <v>27.981357226792799</v>
      </c>
      <c r="F31" s="7">
        <v>28.4932922719366</v>
      </c>
      <c r="G31" s="7">
        <v>29.001438017309798</v>
      </c>
      <c r="H31" s="7">
        <v>29.5020269906801</v>
      </c>
      <c r="I31" s="7">
        <v>29.9421026967835</v>
      </c>
      <c r="J31" s="7">
        <v>30.3304153703019</v>
      </c>
      <c r="K31" s="7">
        <v>30.5196814417117</v>
      </c>
      <c r="L31" s="7">
        <v>30.781835184404699</v>
      </c>
      <c r="M31" s="7">
        <v>31.038018254136599</v>
      </c>
      <c r="N31" s="7">
        <v>31.331708300615201</v>
      </c>
      <c r="O31" s="7">
        <v>31.041360279823699</v>
      </c>
      <c r="P31" s="7">
        <v>30.894453877467399</v>
      </c>
      <c r="Q31" s="7">
        <v>30.719718797957299</v>
      </c>
      <c r="R31" s="7">
        <v>30.493764523807101</v>
      </c>
      <c r="S31" s="7">
        <v>30.148075447448601</v>
      </c>
      <c r="T31" s="7">
        <v>29.720613931949899</v>
      </c>
      <c r="U31" s="7">
        <v>29.239280238545099</v>
      </c>
      <c r="V31" s="7">
        <v>28.744888922887199</v>
      </c>
      <c r="W31" s="7">
        <v>28.255477554702701</v>
      </c>
      <c r="X31" s="7">
        <v>27.802295954182998</v>
      </c>
      <c r="Y31" s="7">
        <v>27.1786324143801</v>
      </c>
      <c r="Z31" s="7">
        <v>26.501628615798602</v>
      </c>
      <c r="AA31" s="7">
        <v>25.8131718768336</v>
      </c>
      <c r="AB31" s="7">
        <v>25.170484695186602</v>
      </c>
      <c r="AC31" s="7">
        <v>24.480444356214001</v>
      </c>
      <c r="AD31" s="7">
        <v>23.881884907754401</v>
      </c>
      <c r="AE31" s="7">
        <v>23.341509627274402</v>
      </c>
      <c r="AF31" s="7">
        <v>22.863097756865599</v>
      </c>
      <c r="AG31" s="7">
        <v>22.5723155487673</v>
      </c>
      <c r="AH31" s="7">
        <v>22.335906356798901</v>
      </c>
      <c r="AI31" s="7">
        <v>22.157197717398699</v>
      </c>
      <c r="AJ31" s="7">
        <v>22.014723053348</v>
      </c>
      <c r="AK31" s="7">
        <v>21.831072360627999</v>
      </c>
      <c r="AL31" s="7">
        <v>21.659839025348401</v>
      </c>
      <c r="AM31" s="7">
        <v>21.461089167682399</v>
      </c>
      <c r="AN31" s="7">
        <v>21.403912910288401</v>
      </c>
      <c r="AO31" s="7">
        <v>21.452424288621401</v>
      </c>
      <c r="AP31" s="7">
        <v>21.5630228649526</v>
      </c>
      <c r="AQ31" s="7">
        <v>21.691158405096701</v>
      </c>
      <c r="AR31" s="7">
        <v>21.837665233445399</v>
      </c>
      <c r="AS31" s="7">
        <v>21.9110297758771</v>
      </c>
      <c r="AT31" s="7">
        <v>21.967122259066802</v>
      </c>
      <c r="AU31" s="7">
        <v>21.967751693970001</v>
      </c>
      <c r="AV31" s="7">
        <v>21.883760204306199</v>
      </c>
      <c r="AW31" s="7">
        <v>21.7910751959385</v>
      </c>
      <c r="AX31" s="7">
        <v>21.671764682473501</v>
      </c>
      <c r="AY31" s="7">
        <v>21.562279167686398</v>
      </c>
      <c r="AZ31" s="7">
        <v>21.486285802408201</v>
      </c>
      <c r="BA31" s="7">
        <v>21.363526341572101</v>
      </c>
      <c r="BB31" s="7">
        <v>21.212927211667701</v>
      </c>
      <c r="BC31" s="7">
        <v>21.056232720198501</v>
      </c>
      <c r="BD31" s="7">
        <v>20.898652916189</v>
      </c>
      <c r="BE31" s="7">
        <v>20.7140384461213</v>
      </c>
      <c r="BF31" s="7">
        <v>20.479068250240701</v>
      </c>
      <c r="BG31" s="7">
        <v>20.2817638072096</v>
      </c>
      <c r="BH31" s="7">
        <v>20.1445313732053</v>
      </c>
      <c r="BI31" s="7">
        <v>20.029132705645299</v>
      </c>
      <c r="BJ31" s="7">
        <v>19.913054252176099</v>
      </c>
      <c r="BK31" s="7">
        <v>19.785662003802901</v>
      </c>
      <c r="BL31" s="7">
        <v>19.63413650931</v>
      </c>
      <c r="BM31" s="7">
        <v>19.474930968486699</v>
      </c>
      <c r="BN31" s="7">
        <v>19.327903639748399</v>
      </c>
      <c r="BO31" s="7">
        <v>19.183875197103699</v>
      </c>
      <c r="BP31" s="7">
        <v>19.027975750276301</v>
      </c>
      <c r="BQ31" s="7">
        <v>18.887845519024101</v>
      </c>
      <c r="BR31" s="7">
        <v>18.764880254474701</v>
      </c>
      <c r="BS31" s="7">
        <v>18.626747787213201</v>
      </c>
      <c r="BT31" s="7">
        <v>18.4610464096159</v>
      </c>
      <c r="BU31" s="7">
        <v>18.276989126097099</v>
      </c>
      <c r="BV31" s="7">
        <v>18.049018618272601</v>
      </c>
      <c r="BW31" s="7">
        <v>17.833665179405401</v>
      </c>
      <c r="BX31" s="7">
        <v>17.833665179405401</v>
      </c>
    </row>
    <row r="32" spans="1:76" ht="14" x14ac:dyDescent="0.2">
      <c r="A32" s="6" t="s">
        <v>106</v>
      </c>
      <c r="B32" s="5" t="s">
        <v>81</v>
      </c>
      <c r="C32" s="8">
        <v>14.681545256783201</v>
      </c>
      <c r="D32" s="8">
        <v>14.275468333636701</v>
      </c>
      <c r="E32" s="8">
        <v>13.890754930698099</v>
      </c>
      <c r="F32" s="8">
        <v>13.575566807491199</v>
      </c>
      <c r="G32" s="8">
        <v>13.3270616082772</v>
      </c>
      <c r="H32" s="8">
        <v>13.1095524758508</v>
      </c>
      <c r="I32" s="8">
        <v>12.999293659804099</v>
      </c>
      <c r="J32" s="8">
        <v>13.0251064444144</v>
      </c>
      <c r="K32" s="8">
        <v>13.2987007049054</v>
      </c>
      <c r="L32" s="8">
        <v>13.4892600686315</v>
      </c>
      <c r="M32" s="8">
        <v>13.6028098076396</v>
      </c>
      <c r="N32" s="8">
        <v>13.7413666995259</v>
      </c>
      <c r="O32" s="8">
        <v>14.425754505641899</v>
      </c>
      <c r="P32" s="8">
        <v>14.913488086812601</v>
      </c>
      <c r="Q32" s="8">
        <v>15.3832659251055</v>
      </c>
      <c r="R32" s="8">
        <v>15.837725542044399</v>
      </c>
      <c r="S32" s="8">
        <v>16.286204188354599</v>
      </c>
      <c r="T32" s="8">
        <v>16.705402112089299</v>
      </c>
      <c r="U32" s="8">
        <v>16.984792267250601</v>
      </c>
      <c r="V32" s="8">
        <v>17.385308341877199</v>
      </c>
      <c r="W32" s="8">
        <v>17.817515555821402</v>
      </c>
      <c r="X32" s="8">
        <v>18.2738222509021</v>
      </c>
      <c r="Y32" s="8">
        <v>18.318120951897399</v>
      </c>
      <c r="Z32" s="8">
        <v>18.517526512397399</v>
      </c>
      <c r="AA32" s="8">
        <v>18.712307683214501</v>
      </c>
      <c r="AB32" s="8">
        <v>18.896632632644401</v>
      </c>
      <c r="AC32" s="8">
        <v>19.0429329096659</v>
      </c>
      <c r="AD32" s="8">
        <v>19.0881087707162</v>
      </c>
      <c r="AE32" s="8">
        <v>19.0678494771504</v>
      </c>
      <c r="AF32" s="8">
        <v>18.972424786959301</v>
      </c>
      <c r="AG32" s="8">
        <v>18.7024775710874</v>
      </c>
      <c r="AH32" s="8">
        <v>18.392029146454501</v>
      </c>
      <c r="AI32" s="8">
        <v>17.975919724379999</v>
      </c>
      <c r="AJ32" s="8">
        <v>17.545615355844902</v>
      </c>
      <c r="AK32" s="8">
        <v>17.156803058906799</v>
      </c>
      <c r="AL32" s="8">
        <v>16.808677333009101</v>
      </c>
      <c r="AM32" s="8">
        <v>16.4728099071245</v>
      </c>
      <c r="AN32" s="8">
        <v>16.051024669646701</v>
      </c>
      <c r="AO32" s="8">
        <v>15.6036960513807</v>
      </c>
      <c r="AP32" s="8">
        <v>15.149046125782</v>
      </c>
      <c r="AQ32" s="8">
        <v>14.791107594837101</v>
      </c>
      <c r="AR32" s="8">
        <v>14.429824181893601</v>
      </c>
      <c r="AS32" s="8">
        <v>14.2035951971225</v>
      </c>
      <c r="AT32" s="8">
        <v>14.028922394730801</v>
      </c>
      <c r="AU32" s="8">
        <v>13.883803900796201</v>
      </c>
      <c r="AV32" s="8">
        <v>13.772883179447501</v>
      </c>
      <c r="AW32" s="8">
        <v>13.6590889953701</v>
      </c>
      <c r="AX32" s="8">
        <v>13.683545853304601</v>
      </c>
      <c r="AY32" s="8">
        <v>13.777875496099201</v>
      </c>
      <c r="AZ32" s="8">
        <v>13.8603812050457</v>
      </c>
      <c r="BA32" s="8">
        <v>13.967708122539401</v>
      </c>
      <c r="BB32" s="8">
        <v>14.1115617313472</v>
      </c>
      <c r="BC32" s="8">
        <v>14.203948747980499</v>
      </c>
      <c r="BD32" s="8">
        <v>14.2667087976529</v>
      </c>
      <c r="BE32" s="8">
        <v>14.326281760106699</v>
      </c>
      <c r="BF32" s="8">
        <v>14.363378958621499</v>
      </c>
      <c r="BG32" s="8">
        <v>14.358823190483401</v>
      </c>
      <c r="BH32" s="8">
        <v>14.3231557678551</v>
      </c>
      <c r="BI32" s="8">
        <v>14.269106543205799</v>
      </c>
      <c r="BJ32" s="8">
        <v>14.2050118347195</v>
      </c>
      <c r="BK32" s="8">
        <v>14.122367205260099</v>
      </c>
      <c r="BL32" s="8">
        <v>14.0657687818822</v>
      </c>
      <c r="BM32" s="8">
        <v>14.008776132657699</v>
      </c>
      <c r="BN32" s="8">
        <v>13.9246751819521</v>
      </c>
      <c r="BO32" s="8">
        <v>13.8047240087372</v>
      </c>
      <c r="BP32" s="8">
        <v>13.64965620613</v>
      </c>
      <c r="BQ32" s="8">
        <v>13.4669141844356</v>
      </c>
      <c r="BR32" s="8">
        <v>13.277225166292</v>
      </c>
      <c r="BS32" s="8">
        <v>13.1264265105071</v>
      </c>
      <c r="BT32" s="8">
        <v>13.008376667967299</v>
      </c>
      <c r="BU32" s="8">
        <v>13.277289749141501</v>
      </c>
      <c r="BV32" s="8">
        <v>13.2701740148468</v>
      </c>
      <c r="BW32" s="8">
        <v>13.3042983659903</v>
      </c>
      <c r="BX32" s="8">
        <v>13.3042983659903</v>
      </c>
    </row>
    <row r="33" spans="1:76" ht="14" x14ac:dyDescent="0.2">
      <c r="A33" s="6" t="s">
        <v>107</v>
      </c>
      <c r="B33" s="5" t="s">
        <v>81</v>
      </c>
      <c r="C33" s="7">
        <v>64.934767107342296</v>
      </c>
      <c r="D33" s="7">
        <v>64.292113382304706</v>
      </c>
      <c r="E33" s="7">
        <v>63.638343579426198</v>
      </c>
      <c r="F33" s="7">
        <v>63.005832061131201</v>
      </c>
      <c r="G33" s="7">
        <v>62.364453554710401</v>
      </c>
      <c r="H33" s="7">
        <v>61.744061855226001</v>
      </c>
      <c r="I33" s="7">
        <v>61.213971346671698</v>
      </c>
      <c r="J33" s="7">
        <v>60.722352114697998</v>
      </c>
      <c r="K33" s="7">
        <v>60.442175881159201</v>
      </c>
      <c r="L33" s="7">
        <v>60.081372941971203</v>
      </c>
      <c r="M33" s="7">
        <v>59.732489233284298</v>
      </c>
      <c r="N33" s="7">
        <v>59.365078557997997</v>
      </c>
      <c r="O33" s="7">
        <v>59.600424443875397</v>
      </c>
      <c r="P33" s="7">
        <v>59.711396844792198</v>
      </c>
      <c r="Q33" s="7">
        <v>59.833821142788899</v>
      </c>
      <c r="R33" s="7">
        <v>60.010038035292297</v>
      </c>
      <c r="S33" s="7">
        <v>60.310258522245697</v>
      </c>
      <c r="T33" s="7">
        <v>60.681873272953297</v>
      </c>
      <c r="U33" s="7">
        <v>61.112222963759997</v>
      </c>
      <c r="V33" s="7">
        <v>61.544847828918797</v>
      </c>
      <c r="W33" s="7">
        <v>61.938857570951697</v>
      </c>
      <c r="X33" s="7">
        <v>62.296233870026299</v>
      </c>
      <c r="Y33" s="7">
        <v>62.806970504695698</v>
      </c>
      <c r="Z33" s="7">
        <v>63.340730352343897</v>
      </c>
      <c r="AA33" s="7">
        <v>63.870682328547197</v>
      </c>
      <c r="AB33" s="7">
        <v>64.320667399106298</v>
      </c>
      <c r="AC33" s="7">
        <v>64.843249779654798</v>
      </c>
      <c r="AD33" s="7">
        <v>65.269991510375604</v>
      </c>
      <c r="AE33" s="7">
        <v>65.650515403034802</v>
      </c>
      <c r="AF33" s="7">
        <v>65.969103432701502</v>
      </c>
      <c r="AG33" s="7">
        <v>66.114012060159993</v>
      </c>
      <c r="AH33" s="7">
        <v>66.237202652418901</v>
      </c>
      <c r="AI33" s="7">
        <v>66.279750603780599</v>
      </c>
      <c r="AJ33" s="7">
        <v>66.282278682306</v>
      </c>
      <c r="AK33" s="7">
        <v>66.347653989484101</v>
      </c>
      <c r="AL33" s="7">
        <v>66.3967658215943</v>
      </c>
      <c r="AM33" s="7">
        <v>66.459100622898006</v>
      </c>
      <c r="AN33" s="7">
        <v>66.368467995717396</v>
      </c>
      <c r="AO33" s="7">
        <v>66.227030753036004</v>
      </c>
      <c r="AP33" s="7">
        <v>66.006115892995894</v>
      </c>
      <c r="AQ33" s="7">
        <v>65.791043842651305</v>
      </c>
      <c r="AR33" s="7">
        <v>65.587623061296199</v>
      </c>
      <c r="AS33" s="7">
        <v>65.475247095849198</v>
      </c>
      <c r="AT33" s="7">
        <v>65.374371378164</v>
      </c>
      <c r="AU33" s="7">
        <v>65.364999279185099</v>
      </c>
      <c r="AV33" s="7">
        <v>65.434285537392398</v>
      </c>
      <c r="AW33" s="7">
        <v>65.534918328111203</v>
      </c>
      <c r="AX33" s="7">
        <v>65.710612360656597</v>
      </c>
      <c r="AY33" s="7">
        <v>65.887913344222</v>
      </c>
      <c r="AZ33" s="7">
        <v>66.043165154631097</v>
      </c>
      <c r="BA33" s="7">
        <v>66.207614734338193</v>
      </c>
      <c r="BB33" s="7">
        <v>66.403165565877202</v>
      </c>
      <c r="BC33" s="7">
        <v>66.593594949799794</v>
      </c>
      <c r="BD33" s="7">
        <v>66.739213918703797</v>
      </c>
      <c r="BE33" s="7">
        <v>66.921663760332606</v>
      </c>
      <c r="BF33" s="7">
        <v>67.118989481873399</v>
      </c>
      <c r="BG33" s="7">
        <v>67.262938263752801</v>
      </c>
      <c r="BH33" s="7">
        <v>67.298432662058104</v>
      </c>
      <c r="BI33" s="7">
        <v>67.219012494315606</v>
      </c>
      <c r="BJ33" s="7">
        <v>67.170761795172993</v>
      </c>
      <c r="BK33" s="7">
        <v>67.128435282512498</v>
      </c>
      <c r="BL33" s="7">
        <v>67.094655765785006</v>
      </c>
      <c r="BM33" s="7">
        <v>66.783342167242196</v>
      </c>
      <c r="BN33" s="7">
        <v>66.550618006652996</v>
      </c>
      <c r="BO33" s="7">
        <v>66.317699212518605</v>
      </c>
      <c r="BP33" s="7">
        <v>66.113877628486904</v>
      </c>
      <c r="BQ33" s="7">
        <v>65.880714951389095</v>
      </c>
      <c r="BR33" s="7">
        <v>65.623251272518701</v>
      </c>
      <c r="BS33" s="7">
        <v>65.354743617345704</v>
      </c>
      <c r="BT33" s="7">
        <v>65.080895315085698</v>
      </c>
      <c r="BU33" s="7">
        <v>65.184664235732498</v>
      </c>
      <c r="BV33" s="7">
        <v>65.016107173958503</v>
      </c>
      <c r="BW33" s="7">
        <v>64.825497820790204</v>
      </c>
      <c r="BX33" s="7">
        <v>64.825497820790204</v>
      </c>
    </row>
    <row r="34" spans="1:76" ht="14" x14ac:dyDescent="0.2">
      <c r="A34" s="6" t="s">
        <v>108</v>
      </c>
      <c r="B34" s="5" t="s">
        <v>81</v>
      </c>
      <c r="C34" s="8">
        <v>8.1414990707021495</v>
      </c>
      <c r="D34" s="8">
        <v>8.2662290160734297</v>
      </c>
      <c r="E34" s="8">
        <v>8.3802991937810791</v>
      </c>
      <c r="F34" s="8">
        <v>8.5008756669322292</v>
      </c>
      <c r="G34" s="8">
        <v>8.6341084279797702</v>
      </c>
      <c r="H34" s="8">
        <v>8.7539111540938492</v>
      </c>
      <c r="I34" s="8">
        <v>8.8439259565448491</v>
      </c>
      <c r="J34" s="8">
        <v>8.9472325150000795</v>
      </c>
      <c r="K34" s="8">
        <v>9.0381426771291302</v>
      </c>
      <c r="L34" s="8">
        <v>9.1367918736241194</v>
      </c>
      <c r="M34" s="8">
        <v>9.2294925125791192</v>
      </c>
      <c r="N34" s="8">
        <v>9.3032131413867791</v>
      </c>
      <c r="O34" s="8">
        <v>9.3582152763008999</v>
      </c>
      <c r="P34" s="8">
        <v>9.3941492777404303</v>
      </c>
      <c r="Q34" s="8">
        <v>9.4464600592538002</v>
      </c>
      <c r="R34" s="8">
        <v>9.4961974409005805</v>
      </c>
      <c r="S34" s="8">
        <v>9.5416660303056702</v>
      </c>
      <c r="T34" s="8">
        <v>9.59751279509684</v>
      </c>
      <c r="U34" s="8">
        <v>9.6484967976949694</v>
      </c>
      <c r="V34" s="8">
        <v>9.7102632481939999</v>
      </c>
      <c r="W34" s="8">
        <v>9.8056648743455899</v>
      </c>
      <c r="X34" s="8">
        <v>9.9014701757906707</v>
      </c>
      <c r="Y34" s="8">
        <v>10.0143970809242</v>
      </c>
      <c r="Z34" s="8">
        <v>10.1576410318575</v>
      </c>
      <c r="AA34" s="8">
        <v>10.316145794619199</v>
      </c>
      <c r="AB34" s="8">
        <v>10.508847905707</v>
      </c>
      <c r="AC34" s="8">
        <v>10.6763058641312</v>
      </c>
      <c r="AD34" s="8">
        <v>10.84812358187</v>
      </c>
      <c r="AE34" s="8">
        <v>11.0079749696907</v>
      </c>
      <c r="AF34" s="8">
        <v>11.167798810432901</v>
      </c>
      <c r="AG34" s="8">
        <v>11.3136723910727</v>
      </c>
      <c r="AH34" s="8">
        <v>11.4268909907822</v>
      </c>
      <c r="AI34" s="8">
        <v>11.5630516788208</v>
      </c>
      <c r="AJ34" s="8">
        <v>11.702998264346</v>
      </c>
      <c r="AK34" s="8">
        <v>11.8212736498879</v>
      </c>
      <c r="AL34" s="8">
        <v>11.943395153057301</v>
      </c>
      <c r="AM34" s="8">
        <v>12.0798102094196</v>
      </c>
      <c r="AN34" s="8">
        <v>12.2276190939942</v>
      </c>
      <c r="AO34" s="8">
        <v>12.3205449583426</v>
      </c>
      <c r="AP34" s="8">
        <v>12.430861242051501</v>
      </c>
      <c r="AQ34" s="8">
        <v>12.5177977522519</v>
      </c>
      <c r="AR34" s="8">
        <v>12.574711705258499</v>
      </c>
      <c r="AS34" s="8">
        <v>12.613723128273801</v>
      </c>
      <c r="AT34" s="8">
        <v>12.6585063627693</v>
      </c>
      <c r="AU34" s="8">
        <v>12.6672490268448</v>
      </c>
      <c r="AV34" s="8">
        <v>12.681954258301401</v>
      </c>
      <c r="AW34" s="8">
        <v>12.6740064759503</v>
      </c>
      <c r="AX34" s="8">
        <v>12.617622956869999</v>
      </c>
      <c r="AY34" s="8">
        <v>12.5498074880916</v>
      </c>
      <c r="AZ34" s="8">
        <v>12.4705490429607</v>
      </c>
      <c r="BA34" s="8">
        <v>12.428858924089599</v>
      </c>
      <c r="BB34" s="8">
        <v>12.3839072224552</v>
      </c>
      <c r="BC34" s="8">
        <v>12.350172330001699</v>
      </c>
      <c r="BD34" s="8">
        <v>12.362133165107201</v>
      </c>
      <c r="BE34" s="8">
        <v>12.3642977935461</v>
      </c>
      <c r="BF34" s="8">
        <v>12.4019422678859</v>
      </c>
      <c r="BG34" s="8">
        <v>12.455297929037499</v>
      </c>
      <c r="BH34" s="8">
        <v>12.5570359647365</v>
      </c>
      <c r="BI34" s="8">
        <v>12.751854800039</v>
      </c>
      <c r="BJ34" s="8">
        <v>12.916183952651</v>
      </c>
      <c r="BK34" s="8">
        <v>13.0859027136846</v>
      </c>
      <c r="BL34" s="8">
        <v>13.271207724905</v>
      </c>
      <c r="BM34" s="8">
        <v>13.741726864271101</v>
      </c>
      <c r="BN34" s="8">
        <v>14.1214783535985</v>
      </c>
      <c r="BO34" s="8">
        <v>14.4984255903777</v>
      </c>
      <c r="BP34" s="8">
        <v>14.8581466212368</v>
      </c>
      <c r="BQ34" s="8">
        <v>15.231439529586901</v>
      </c>
      <c r="BR34" s="8">
        <v>15.611868473006499</v>
      </c>
      <c r="BS34" s="8">
        <v>16.018508595441102</v>
      </c>
      <c r="BT34" s="8">
        <v>16.458058275298399</v>
      </c>
      <c r="BU34" s="8">
        <v>16.538346638170399</v>
      </c>
      <c r="BV34" s="8">
        <v>16.9348742077688</v>
      </c>
      <c r="BW34" s="8">
        <v>17.340836999804299</v>
      </c>
      <c r="BX34" s="8">
        <v>17.340836999804299</v>
      </c>
    </row>
    <row r="35" spans="1:76" ht="24" x14ac:dyDescent="0.2">
      <c r="A35" s="6" t="s">
        <v>109</v>
      </c>
      <c r="B35" s="5" t="s">
        <v>81</v>
      </c>
      <c r="C35" s="7">
        <v>58.584545181874901</v>
      </c>
      <c r="D35" s="7">
        <v>59.604878659681098</v>
      </c>
      <c r="E35" s="7">
        <v>60.872974137895</v>
      </c>
      <c r="F35" s="7">
        <v>62.416343475054802</v>
      </c>
      <c r="G35" s="7">
        <v>64.085172385022005</v>
      </c>
      <c r="H35" s="7">
        <v>65.6273328749473</v>
      </c>
      <c r="I35" s="7">
        <v>67.2595072050255</v>
      </c>
      <c r="J35" s="7">
        <v>69.047211918303603</v>
      </c>
      <c r="K35" s="7">
        <v>70.680012130744501</v>
      </c>
      <c r="L35" s="7">
        <v>72.218723870163899</v>
      </c>
      <c r="M35" s="7">
        <v>73.582749904228194</v>
      </c>
      <c r="N35" s="7">
        <v>74.838120315174905</v>
      </c>
      <c r="O35" s="7">
        <v>75.710837436724006</v>
      </c>
      <c r="P35" s="7">
        <v>75.878910961025795</v>
      </c>
      <c r="Q35" s="7">
        <v>76.293342785583704</v>
      </c>
      <c r="R35" s="7">
        <v>76.602925380000002</v>
      </c>
      <c r="S35" s="7">
        <v>76.772415927666799</v>
      </c>
      <c r="T35" s="7">
        <v>75.029620422769895</v>
      </c>
      <c r="U35" s="7">
        <v>73.777132388896803</v>
      </c>
      <c r="V35" s="7">
        <v>72.669141380711096</v>
      </c>
      <c r="W35" s="7">
        <v>71.764452207846105</v>
      </c>
      <c r="X35" s="7">
        <v>70.747929161635199</v>
      </c>
      <c r="Y35" s="7">
        <v>69.344940186447104</v>
      </c>
      <c r="Z35" s="7">
        <v>67.730609126688094</v>
      </c>
      <c r="AA35" s="7">
        <v>65.984559798833999</v>
      </c>
      <c r="AB35" s="7">
        <v>64.308387265668202</v>
      </c>
      <c r="AC35" s="7">
        <v>62.504820627676402</v>
      </c>
      <c r="AD35" s="7">
        <v>60.664171861313903</v>
      </c>
      <c r="AE35" s="7">
        <v>58.934183517806801</v>
      </c>
      <c r="AF35" s="7">
        <v>57.337948696990402</v>
      </c>
      <c r="AG35" s="7">
        <v>56.074057757475003</v>
      </c>
      <c r="AH35" s="7">
        <v>54.616353077208302</v>
      </c>
      <c r="AI35" s="7">
        <v>53.368317915415297</v>
      </c>
      <c r="AJ35" s="7">
        <v>52.263896582474501</v>
      </c>
      <c r="AK35" s="7">
        <v>51.197457053040402</v>
      </c>
      <c r="AL35" s="7">
        <v>50.458119702239898</v>
      </c>
      <c r="AM35" s="7">
        <v>49.9708170864875</v>
      </c>
      <c r="AN35" s="7">
        <v>49.651699079675097</v>
      </c>
      <c r="AO35" s="7">
        <v>49.465420211489302</v>
      </c>
      <c r="AP35" s="7">
        <v>49.284063555556102</v>
      </c>
      <c r="AQ35" s="7">
        <v>49.104685824240697</v>
      </c>
      <c r="AR35" s="7">
        <v>48.781369390993298</v>
      </c>
      <c r="AS35" s="7">
        <v>48.737688385473497</v>
      </c>
      <c r="AT35" s="7">
        <v>48.915908022425498</v>
      </c>
      <c r="AU35" s="7">
        <v>49.104861545478002</v>
      </c>
      <c r="AV35" s="7">
        <v>49.1749440339945</v>
      </c>
      <c r="AW35" s="7">
        <v>49.245364206387698</v>
      </c>
      <c r="AX35" s="7">
        <v>49.126788234769698</v>
      </c>
      <c r="AY35" s="7">
        <v>48.9888344412484</v>
      </c>
      <c r="AZ35" s="7">
        <v>48.744714425749699</v>
      </c>
      <c r="BA35" s="7">
        <v>48.388026073834503</v>
      </c>
      <c r="BB35" s="7">
        <v>47.938332209046202</v>
      </c>
      <c r="BC35" s="7">
        <v>47.489379632616703</v>
      </c>
      <c r="BD35" s="7">
        <v>47.116353016378099</v>
      </c>
      <c r="BE35" s="7">
        <v>46.757486125419199</v>
      </c>
      <c r="BF35" s="7">
        <v>46.366926091636799</v>
      </c>
      <c r="BG35" s="7">
        <v>46.019218353983703</v>
      </c>
      <c r="BH35" s="7">
        <v>45.804955953181</v>
      </c>
      <c r="BI35" s="7">
        <v>45.619725270322697</v>
      </c>
      <c r="BJ35" s="7">
        <v>45.293584396755399</v>
      </c>
      <c r="BK35" s="7">
        <v>44.803528030615098</v>
      </c>
      <c r="BL35" s="7">
        <v>44.205479103583997</v>
      </c>
      <c r="BM35" s="7">
        <v>43.826889480280997</v>
      </c>
      <c r="BN35" s="7">
        <v>43.4937703288156</v>
      </c>
      <c r="BO35" s="7">
        <v>43.211569265186696</v>
      </c>
      <c r="BP35" s="7">
        <v>43.003373946601997</v>
      </c>
      <c r="BQ35" s="7">
        <v>42.858971738919998</v>
      </c>
      <c r="BR35" s="7">
        <v>42.712255193592199</v>
      </c>
      <c r="BS35" s="7">
        <v>42.568734482354998</v>
      </c>
      <c r="BT35" s="7">
        <v>42.405908407841302</v>
      </c>
      <c r="BU35" s="7">
        <v>42.502224934758402</v>
      </c>
      <c r="BV35" s="7">
        <v>41.944726715935303</v>
      </c>
      <c r="BW35" s="7">
        <v>41.700121725427898</v>
      </c>
      <c r="BX35" s="7">
        <v>41.700121725427898</v>
      </c>
    </row>
    <row r="36" spans="1:76" ht="24" x14ac:dyDescent="0.2">
      <c r="A36" s="6" t="s">
        <v>110</v>
      </c>
      <c r="B36" s="5" t="s">
        <v>81</v>
      </c>
      <c r="C36" s="8">
        <v>14.0554865816906</v>
      </c>
      <c r="D36" s="8">
        <v>14.3821677113296</v>
      </c>
      <c r="E36" s="8">
        <v>14.7147790661357</v>
      </c>
      <c r="F36" s="8">
        <v>15.0895557987348</v>
      </c>
      <c r="G36" s="8">
        <v>15.5061056748872</v>
      </c>
      <c r="H36" s="8">
        <v>15.8898531982598</v>
      </c>
      <c r="I36" s="8">
        <v>16.2274506967496</v>
      </c>
      <c r="J36" s="8">
        <v>16.611298621919701</v>
      </c>
      <c r="K36" s="8">
        <v>16.959089745674401</v>
      </c>
      <c r="L36" s="8">
        <v>17.317533346988</v>
      </c>
      <c r="M36" s="8">
        <v>17.649793252241</v>
      </c>
      <c r="N36" s="8">
        <v>17.9340013562678</v>
      </c>
      <c r="O36" s="8">
        <v>18.1410797252544</v>
      </c>
      <c r="P36" s="8">
        <v>18.235386911591402</v>
      </c>
      <c r="Q36" s="8">
        <v>18.390755595265301</v>
      </c>
      <c r="R36" s="8">
        <v>18.5302296768579</v>
      </c>
      <c r="S36" s="8">
        <v>18.6461908166158</v>
      </c>
      <c r="T36" s="8">
        <v>18.5818894309953</v>
      </c>
      <c r="U36" s="8">
        <v>18.557390258495602</v>
      </c>
      <c r="V36" s="8">
        <v>18.569805140259199</v>
      </c>
      <c r="W36" s="8">
        <v>18.6737299335845</v>
      </c>
      <c r="X36" s="8">
        <v>18.764518482938399</v>
      </c>
      <c r="Y36" s="8">
        <v>18.846208945196999</v>
      </c>
      <c r="Z36" s="8">
        <v>18.963742015810599</v>
      </c>
      <c r="AA36" s="8">
        <v>19.092856052095598</v>
      </c>
      <c r="AB36" s="8">
        <v>19.294553830166102</v>
      </c>
      <c r="AC36" s="8">
        <v>19.423190970783601</v>
      </c>
      <c r="AD36" s="8">
        <v>19.549838562634001</v>
      </c>
      <c r="AE36" s="8">
        <v>19.659553913919599</v>
      </c>
      <c r="AF36" s="8">
        <v>19.780198315074198</v>
      </c>
      <c r="AG36" s="8">
        <v>19.910292892043099</v>
      </c>
      <c r="AH36" s="8">
        <v>19.947185232277199</v>
      </c>
      <c r="AI36" s="8">
        <v>20.052770019938102</v>
      </c>
      <c r="AJ36" s="8">
        <v>20.181252844372899</v>
      </c>
      <c r="AK36" s="8">
        <v>20.2695886975566</v>
      </c>
      <c r="AL36" s="8">
        <v>20.407109503180401</v>
      </c>
      <c r="AM36" s="8">
        <v>20.605267250576901</v>
      </c>
      <c r="AN36" s="8">
        <v>20.848061249186198</v>
      </c>
      <c r="AO36" s="8">
        <v>21.0025875338563</v>
      </c>
      <c r="AP36" s="8">
        <v>21.191592221069801</v>
      </c>
      <c r="AQ36" s="8">
        <v>21.335337395543799</v>
      </c>
      <c r="AR36" s="8">
        <v>21.399790194547599</v>
      </c>
      <c r="AS36" s="8">
        <v>21.469458216966899</v>
      </c>
      <c r="AT36" s="8">
        <v>21.5825593394237</v>
      </c>
      <c r="AU36" s="8">
        <v>21.6270344316803</v>
      </c>
      <c r="AV36" s="8">
        <v>21.6659660744142</v>
      </c>
      <c r="AW36" s="8">
        <v>21.6606377565735</v>
      </c>
      <c r="AX36" s="8">
        <v>21.533238742024398</v>
      </c>
      <c r="AY36" s="8">
        <v>21.381098616314699</v>
      </c>
      <c r="AZ36" s="8">
        <v>21.192047200637901</v>
      </c>
      <c r="BA36" s="8">
        <v>21.0605208455273</v>
      </c>
      <c r="BB36" s="8">
        <v>20.910023748412499</v>
      </c>
      <c r="BC36" s="8">
        <v>20.781777942175601</v>
      </c>
      <c r="BD36" s="8">
        <v>20.7521247656531</v>
      </c>
      <c r="BE36" s="8">
        <v>20.705639553296798</v>
      </c>
      <c r="BF36" s="8">
        <v>20.7223106803078</v>
      </c>
      <c r="BG36" s="8">
        <v>20.774676535992199</v>
      </c>
      <c r="BH36" s="8">
        <v>20.9379690629263</v>
      </c>
      <c r="BI36" s="8">
        <v>21.283221418781</v>
      </c>
      <c r="BJ36" s="8">
        <v>21.549798210360301</v>
      </c>
      <c r="BK36" s="8">
        <v>21.801812819440901</v>
      </c>
      <c r="BL36" s="8">
        <v>22.066269090693599</v>
      </c>
      <c r="BM36" s="8">
        <v>22.912930657280601</v>
      </c>
      <c r="BN36" s="8">
        <v>23.595471052912799</v>
      </c>
      <c r="BO36" s="8">
        <v>24.284257863196199</v>
      </c>
      <c r="BP36" s="8">
        <v>24.9555889742958</v>
      </c>
      <c r="BQ36" s="8">
        <v>25.669278529978001</v>
      </c>
      <c r="BR36" s="8">
        <v>26.401875681485301</v>
      </c>
      <c r="BS36" s="8">
        <v>27.193354875605301</v>
      </c>
      <c r="BT36" s="8">
        <v>28.0544681023385</v>
      </c>
      <c r="BU36" s="8">
        <v>28.237533019677901</v>
      </c>
      <c r="BV36" s="8">
        <v>28.938932776711798</v>
      </c>
      <c r="BW36" s="8">
        <v>29.726876301508899</v>
      </c>
      <c r="BX36" s="8">
        <v>29.726876301508899</v>
      </c>
    </row>
    <row r="37" spans="1:76" ht="24" x14ac:dyDescent="0.2">
      <c r="A37" s="6" t="s">
        <v>111</v>
      </c>
      <c r="B37" s="5" t="s">
        <v>81</v>
      </c>
      <c r="C37" s="7">
        <v>72.640031763565503</v>
      </c>
      <c r="D37" s="7">
        <v>73.987046371010806</v>
      </c>
      <c r="E37" s="7">
        <v>75.587753204030705</v>
      </c>
      <c r="F37" s="7">
        <v>77.505899273789595</v>
      </c>
      <c r="G37" s="7">
        <v>79.5912780599092</v>
      </c>
      <c r="H37" s="7">
        <v>81.5171860732071</v>
      </c>
      <c r="I37" s="7">
        <v>83.486957901775099</v>
      </c>
      <c r="J37" s="7">
        <v>85.658510540223304</v>
      </c>
      <c r="K37" s="7">
        <v>87.639101876418906</v>
      </c>
      <c r="L37" s="7">
        <v>89.536257217151899</v>
      </c>
      <c r="M37" s="7">
        <v>91.232543156469205</v>
      </c>
      <c r="N37" s="7">
        <v>92.772121671442704</v>
      </c>
      <c r="O37" s="7">
        <v>93.851917161978506</v>
      </c>
      <c r="P37" s="7">
        <v>94.1142978726172</v>
      </c>
      <c r="Q37" s="7">
        <v>94.684098380848994</v>
      </c>
      <c r="R37" s="7">
        <v>95.133155056857902</v>
      </c>
      <c r="S37" s="7">
        <v>95.418606744282599</v>
      </c>
      <c r="T37" s="7">
        <v>93.611509853765099</v>
      </c>
      <c r="U37" s="7">
        <v>92.334522647392305</v>
      </c>
      <c r="V37" s="7">
        <v>91.238946520970202</v>
      </c>
      <c r="W37" s="7">
        <v>90.438182141430602</v>
      </c>
      <c r="X37" s="7">
        <v>89.512447644573598</v>
      </c>
      <c r="Y37" s="7">
        <v>88.191149131644096</v>
      </c>
      <c r="Z37" s="7">
        <v>86.694351142498704</v>
      </c>
      <c r="AA37" s="7">
        <v>85.077415850929597</v>
      </c>
      <c r="AB37" s="7">
        <v>83.602941095834296</v>
      </c>
      <c r="AC37" s="7">
        <v>81.928011598460003</v>
      </c>
      <c r="AD37" s="7">
        <v>80.214010423947897</v>
      </c>
      <c r="AE37" s="7">
        <v>78.593737431726396</v>
      </c>
      <c r="AF37" s="7">
        <v>77.118147012064497</v>
      </c>
      <c r="AG37" s="7">
        <v>75.984350649518106</v>
      </c>
      <c r="AH37" s="7">
        <v>74.563538309485395</v>
      </c>
      <c r="AI37" s="7">
        <v>73.421087935353398</v>
      </c>
      <c r="AJ37" s="7">
        <v>72.445149426847294</v>
      </c>
      <c r="AK37" s="7">
        <v>71.467045750596995</v>
      </c>
      <c r="AL37" s="7">
        <v>70.865229205420306</v>
      </c>
      <c r="AM37" s="7">
        <v>70.576084337064401</v>
      </c>
      <c r="AN37" s="7">
        <v>70.499760328861299</v>
      </c>
      <c r="AO37" s="7">
        <v>70.468007745345503</v>
      </c>
      <c r="AP37" s="7">
        <v>70.475655776625899</v>
      </c>
      <c r="AQ37" s="7">
        <v>70.440023219784507</v>
      </c>
      <c r="AR37" s="7">
        <v>70.181159585540897</v>
      </c>
      <c r="AS37" s="7">
        <v>70.207146602440304</v>
      </c>
      <c r="AT37" s="7">
        <v>70.498467361849194</v>
      </c>
      <c r="AU37" s="7">
        <v>70.731895977158402</v>
      </c>
      <c r="AV37" s="7">
        <v>70.840910108408707</v>
      </c>
      <c r="AW37" s="7">
        <v>70.906001962961199</v>
      </c>
      <c r="AX37" s="7">
        <v>70.6600269767942</v>
      </c>
      <c r="AY37" s="7">
        <v>70.369933057563202</v>
      </c>
      <c r="AZ37" s="7">
        <v>69.936761626387593</v>
      </c>
      <c r="BA37" s="7">
        <v>69.448546919361803</v>
      </c>
      <c r="BB37" s="7">
        <v>68.848355957458693</v>
      </c>
      <c r="BC37" s="7">
        <v>68.271157574792198</v>
      </c>
      <c r="BD37" s="7">
        <v>67.868477782031206</v>
      </c>
      <c r="BE37" s="7">
        <v>67.463125678715997</v>
      </c>
      <c r="BF37" s="7">
        <v>67.089236771944698</v>
      </c>
      <c r="BG37" s="7">
        <v>66.793894889975903</v>
      </c>
      <c r="BH37" s="7">
        <v>66.742925016107307</v>
      </c>
      <c r="BI37" s="7">
        <v>66.9029466891037</v>
      </c>
      <c r="BJ37" s="7">
        <v>66.8433826071157</v>
      </c>
      <c r="BK37" s="7">
        <v>66.605340850056095</v>
      </c>
      <c r="BL37" s="7">
        <v>66.271748194277706</v>
      </c>
      <c r="BM37" s="7">
        <v>66.739820137561594</v>
      </c>
      <c r="BN37" s="7">
        <v>67.0892413817283</v>
      </c>
      <c r="BO37" s="7">
        <v>67.4958271283828</v>
      </c>
      <c r="BP37" s="7">
        <v>67.958962920897704</v>
      </c>
      <c r="BQ37" s="7">
        <v>68.528250268898006</v>
      </c>
      <c r="BR37" s="7">
        <v>69.114130875077393</v>
      </c>
      <c r="BS37" s="7">
        <v>69.762089357960406</v>
      </c>
      <c r="BT37" s="7">
        <v>70.460376510179799</v>
      </c>
      <c r="BU37" s="7">
        <v>70.7397579544363</v>
      </c>
      <c r="BV37" s="7">
        <v>70.883659492647098</v>
      </c>
      <c r="BW37" s="7">
        <v>71.4269980269369</v>
      </c>
      <c r="BX37" s="7">
        <v>71.4269980269369</v>
      </c>
    </row>
    <row r="38" spans="1:76" x14ac:dyDescent="0.15">
      <c r="A38" s="9" t="s">
        <v>112</v>
      </c>
    </row>
  </sheetData>
  <mergeCells count="5">
    <mergeCell ref="A3:B3"/>
    <mergeCell ref="C3:BW3"/>
    <mergeCell ref="A4:B4"/>
    <mergeCell ref="C4:BW4"/>
    <mergeCell ref="A5:B5"/>
  </mergeCells>
  <phoneticPr fontId="9" type="noConversion"/>
  <hyperlinks>
    <hyperlink ref="A2" r:id="rId1" xr:uid="{00000000-0004-0000-0000-000000000000}"/>
    <hyperlink ref="A38" r:id="rId2" xr:uid="{00000000-0004-0000-0000-000001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59B4-9268-5146-9080-B6819929F2F9}">
  <dimension ref="A1:E103"/>
  <sheetViews>
    <sheetView tabSelected="1" topLeftCell="A19" workbookViewId="0">
      <selection activeCell="E54" sqref="E54"/>
    </sheetView>
  </sheetViews>
  <sheetFormatPr baseColWidth="10" defaultRowHeight="13" x14ac:dyDescent="0.15"/>
  <sheetData>
    <row r="1" spans="1:4" x14ac:dyDescent="0.15">
      <c r="A1" t="s">
        <v>117</v>
      </c>
    </row>
    <row r="3" spans="1:4" x14ac:dyDescent="0.15">
      <c r="A3" s="13" t="s">
        <v>113</v>
      </c>
      <c r="B3" s="13" t="s">
        <v>114</v>
      </c>
      <c r="C3" s="13" t="s">
        <v>115</v>
      </c>
      <c r="D3" s="13" t="s">
        <v>116</v>
      </c>
    </row>
    <row r="4" spans="1:4" x14ac:dyDescent="0.15">
      <c r="A4" s="13">
        <v>1999</v>
      </c>
      <c r="B4" s="14">
        <v>272690813</v>
      </c>
      <c r="C4" s="14">
        <v>2392289</v>
      </c>
      <c r="D4" s="15">
        <v>8.8000000000000005E-3</v>
      </c>
    </row>
    <row r="5" spans="1:4" x14ac:dyDescent="0.15">
      <c r="A5" s="13">
        <v>1998</v>
      </c>
      <c r="B5" s="14">
        <v>270298524</v>
      </c>
      <c r="C5" s="14">
        <v>2554929</v>
      </c>
      <c r="D5" s="15">
        <v>9.4999999999999998E-3</v>
      </c>
    </row>
    <row r="6" spans="1:4" x14ac:dyDescent="0.15">
      <c r="A6" s="13">
        <v>1997</v>
      </c>
      <c r="B6" s="14">
        <v>267743595</v>
      </c>
      <c r="C6" s="14">
        <v>2553801</v>
      </c>
      <c r="D6" s="15">
        <v>9.5999999999999992E-3</v>
      </c>
    </row>
    <row r="7" spans="1:4" x14ac:dyDescent="0.15">
      <c r="A7" s="13">
        <v>1996</v>
      </c>
      <c r="B7" s="14">
        <v>265189794</v>
      </c>
      <c r="C7" s="14">
        <v>2424846</v>
      </c>
      <c r="D7" s="15">
        <v>9.1999999999999998E-3</v>
      </c>
    </row>
    <row r="8" spans="1:4" x14ac:dyDescent="0.15">
      <c r="A8" s="13">
        <v>1995</v>
      </c>
      <c r="B8" s="14">
        <v>262764948</v>
      </c>
      <c r="C8" s="14">
        <v>2475711</v>
      </c>
      <c r="D8" s="15">
        <v>9.4999999999999998E-3</v>
      </c>
    </row>
    <row r="9" spans="1:4" x14ac:dyDescent="0.15">
      <c r="A9" s="13">
        <v>1994</v>
      </c>
      <c r="B9" s="14">
        <v>260289237</v>
      </c>
      <c r="C9" s="14">
        <v>2543134</v>
      </c>
      <c r="D9" s="15">
        <v>9.9000000000000008E-3</v>
      </c>
    </row>
    <row r="10" spans="1:4" x14ac:dyDescent="0.15">
      <c r="A10" s="13">
        <v>1993</v>
      </c>
      <c r="B10" s="14">
        <v>257746103</v>
      </c>
      <c r="C10" s="14">
        <v>2751586</v>
      </c>
      <c r="D10" s="15">
        <v>1.0800000000000001E-2</v>
      </c>
    </row>
    <row r="11" spans="1:4" x14ac:dyDescent="0.15">
      <c r="A11" s="13">
        <v>1992</v>
      </c>
      <c r="B11" s="14">
        <v>254994517</v>
      </c>
      <c r="C11" s="14">
        <v>2867115</v>
      </c>
      <c r="D11" s="15">
        <v>1.14E-2</v>
      </c>
    </row>
    <row r="12" spans="1:4" x14ac:dyDescent="0.15">
      <c r="A12" s="13">
        <v>1991</v>
      </c>
      <c r="B12" s="14">
        <v>252127402</v>
      </c>
      <c r="C12" s="14">
        <v>2688690</v>
      </c>
      <c r="D12" s="15">
        <v>1.0800000000000001E-2</v>
      </c>
    </row>
    <row r="13" spans="1:4" x14ac:dyDescent="0.15">
      <c r="A13" s="13">
        <v>1990</v>
      </c>
      <c r="B13" s="14">
        <v>249438712</v>
      </c>
      <c r="C13" s="14">
        <v>2619482</v>
      </c>
      <c r="D13" s="15">
        <v>1.06E-2</v>
      </c>
    </row>
    <row r="14" spans="1:4" x14ac:dyDescent="0.15">
      <c r="A14" s="13">
        <v>1989</v>
      </c>
      <c r="B14" s="14">
        <v>246819230</v>
      </c>
      <c r="C14" s="14">
        <v>2320248</v>
      </c>
      <c r="D14" s="15">
        <v>9.4999999999999998E-3</v>
      </c>
    </row>
    <row r="15" spans="1:4" x14ac:dyDescent="0.15">
      <c r="A15" s="13">
        <v>1988</v>
      </c>
      <c r="B15" s="14">
        <v>244498982</v>
      </c>
      <c r="C15" s="14">
        <v>2210064</v>
      </c>
      <c r="D15" s="15">
        <v>9.1000000000000004E-3</v>
      </c>
    </row>
    <row r="16" spans="1:4" x14ac:dyDescent="0.15">
      <c r="A16" s="13">
        <v>1987</v>
      </c>
      <c r="B16" s="14">
        <v>242288918</v>
      </c>
      <c r="C16" s="14">
        <v>2156031</v>
      </c>
      <c r="D16" s="15">
        <v>8.9999999999999993E-3</v>
      </c>
    </row>
    <row r="17" spans="1:4" x14ac:dyDescent="0.15">
      <c r="A17" s="13">
        <v>1986</v>
      </c>
      <c r="B17" s="14">
        <v>240132887</v>
      </c>
      <c r="C17" s="14">
        <v>2209092</v>
      </c>
      <c r="D17" s="15">
        <v>9.2999999999999992E-3</v>
      </c>
    </row>
    <row r="18" spans="1:4" x14ac:dyDescent="0.15">
      <c r="A18" s="13">
        <v>1985</v>
      </c>
      <c r="B18" s="14">
        <v>237923795</v>
      </c>
      <c r="C18" s="14">
        <v>2098893</v>
      </c>
      <c r="D18" s="15">
        <v>8.8999999999999999E-3</v>
      </c>
    </row>
    <row r="19" spans="1:4" x14ac:dyDescent="0.15">
      <c r="A19" s="13">
        <v>1984</v>
      </c>
      <c r="B19" s="14">
        <v>235824902</v>
      </c>
      <c r="C19" s="14">
        <v>2032908</v>
      </c>
      <c r="D19" s="15">
        <v>8.6999999999999994E-3</v>
      </c>
    </row>
    <row r="20" spans="1:4" x14ac:dyDescent="0.15">
      <c r="A20" s="13">
        <v>1983</v>
      </c>
      <c r="B20" s="14">
        <v>233791994</v>
      </c>
      <c r="C20" s="14">
        <v>2127536</v>
      </c>
      <c r="D20" s="15">
        <v>9.1999999999999998E-3</v>
      </c>
    </row>
    <row r="21" spans="1:4" x14ac:dyDescent="0.15">
      <c r="A21" s="13">
        <v>1982</v>
      </c>
      <c r="B21" s="14">
        <v>231664458</v>
      </c>
      <c r="C21" s="14">
        <v>2198744</v>
      </c>
      <c r="D21" s="15">
        <v>9.5999999999999992E-3</v>
      </c>
    </row>
    <row r="22" spans="1:4" x14ac:dyDescent="0.15">
      <c r="A22" s="13">
        <v>1981</v>
      </c>
      <c r="B22" s="14">
        <v>229465714</v>
      </c>
      <c r="C22" s="14">
        <v>2241033</v>
      </c>
      <c r="D22" s="15">
        <v>9.9000000000000008E-3</v>
      </c>
    </row>
    <row r="23" spans="1:4" x14ac:dyDescent="0.15">
      <c r="A23" s="13">
        <v>1980</v>
      </c>
      <c r="B23" s="14">
        <v>227224681</v>
      </c>
      <c r="C23" s="14">
        <v>2169194</v>
      </c>
      <c r="D23" s="15">
        <v>9.5999999999999992E-3</v>
      </c>
    </row>
    <row r="24" spans="1:4" x14ac:dyDescent="0.15">
      <c r="A24" s="13">
        <v>1979</v>
      </c>
      <c r="B24" s="14">
        <v>225055487</v>
      </c>
      <c r="C24" s="14">
        <v>2470942</v>
      </c>
      <c r="D24" s="15">
        <v>1.11E-2</v>
      </c>
    </row>
    <row r="25" spans="1:4" x14ac:dyDescent="0.15">
      <c r="A25" s="13">
        <v>1978</v>
      </c>
      <c r="B25" s="14">
        <v>222584545</v>
      </c>
      <c r="C25" s="14">
        <v>2345120</v>
      </c>
      <c r="D25" s="15">
        <v>1.06E-2</v>
      </c>
    </row>
    <row r="26" spans="1:4" x14ac:dyDescent="0.15">
      <c r="A26" s="13">
        <v>1977</v>
      </c>
      <c r="B26" s="14">
        <v>220239425</v>
      </c>
      <c r="C26" s="14">
        <v>2204261</v>
      </c>
      <c r="D26" s="15">
        <v>1.01E-2</v>
      </c>
    </row>
    <row r="27" spans="1:4" x14ac:dyDescent="0.15">
      <c r="A27" s="13">
        <v>1976</v>
      </c>
      <c r="B27" s="14">
        <v>218035164</v>
      </c>
      <c r="C27" s="14">
        <v>2061965</v>
      </c>
      <c r="D27" s="15">
        <v>9.4999999999999998E-3</v>
      </c>
    </row>
    <row r="28" spans="1:4" x14ac:dyDescent="0.15">
      <c r="A28" s="13">
        <v>1975</v>
      </c>
      <c r="B28" s="14">
        <v>215973199</v>
      </c>
      <c r="C28" s="14">
        <v>2119271</v>
      </c>
      <c r="D28" s="15">
        <v>9.9000000000000008E-3</v>
      </c>
    </row>
    <row r="29" spans="1:4" x14ac:dyDescent="0.15">
      <c r="A29" s="13">
        <v>1974</v>
      </c>
      <c r="B29" s="14">
        <v>213853928</v>
      </c>
      <c r="C29" s="14">
        <v>1945140</v>
      </c>
      <c r="D29" s="15">
        <v>9.1999999999999998E-3</v>
      </c>
    </row>
    <row r="30" spans="1:4" x14ac:dyDescent="0.15">
      <c r="A30" s="13">
        <v>1973</v>
      </c>
      <c r="B30" s="14">
        <v>211908788</v>
      </c>
      <c r="C30" s="14">
        <v>2012767</v>
      </c>
      <c r="D30" s="15">
        <v>9.5999999999999992E-3</v>
      </c>
    </row>
    <row r="31" spans="1:4" x14ac:dyDescent="0.15">
      <c r="A31" s="13">
        <v>1972</v>
      </c>
      <c r="B31" s="14">
        <v>209896021</v>
      </c>
      <c r="C31" s="14">
        <v>2235344</v>
      </c>
      <c r="D31" s="15">
        <v>1.0800000000000001E-2</v>
      </c>
    </row>
    <row r="32" spans="1:4" x14ac:dyDescent="0.15">
      <c r="A32" s="13">
        <v>1971</v>
      </c>
      <c r="B32" s="14">
        <v>207660677</v>
      </c>
      <c r="C32" s="14">
        <v>2608503</v>
      </c>
      <c r="D32" s="15">
        <v>1.2699999999999999E-2</v>
      </c>
    </row>
    <row r="33" spans="1:4" x14ac:dyDescent="0.15">
      <c r="A33" s="13">
        <v>1970</v>
      </c>
      <c r="B33" s="14">
        <v>205052174</v>
      </c>
      <c r="C33" s="14">
        <v>2375228</v>
      </c>
      <c r="D33" s="15">
        <v>1.17E-2</v>
      </c>
    </row>
    <row r="34" spans="1:4" x14ac:dyDescent="0.15">
      <c r="A34" s="13">
        <v>1969</v>
      </c>
      <c r="B34" s="14">
        <v>202676946</v>
      </c>
      <c r="C34" s="14">
        <v>1970894</v>
      </c>
      <c r="D34" s="15">
        <v>9.7999999999999997E-3</v>
      </c>
    </row>
    <row r="35" spans="1:4" x14ac:dyDescent="0.15">
      <c r="A35" s="13">
        <v>1968</v>
      </c>
      <c r="B35" s="14">
        <v>200706052</v>
      </c>
      <c r="C35" s="14">
        <v>1993996</v>
      </c>
      <c r="D35" s="15">
        <v>0.01</v>
      </c>
    </row>
    <row r="36" spans="1:4" x14ac:dyDescent="0.15">
      <c r="A36" s="13">
        <v>1967</v>
      </c>
      <c r="B36" s="14">
        <v>198712056</v>
      </c>
      <c r="C36" s="14">
        <v>2151718</v>
      </c>
      <c r="D36" s="15">
        <v>1.09E-2</v>
      </c>
    </row>
    <row r="37" spans="1:4" x14ac:dyDescent="0.15">
      <c r="A37" s="13">
        <v>1966</v>
      </c>
      <c r="B37" s="14">
        <v>196560338</v>
      </c>
      <c r="C37" s="14">
        <v>2257375</v>
      </c>
      <c r="D37" s="15">
        <v>1.1599999999999999E-2</v>
      </c>
    </row>
    <row r="38" spans="1:4" x14ac:dyDescent="0.15">
      <c r="A38" s="13">
        <v>1965</v>
      </c>
      <c r="B38" s="14">
        <v>194302963</v>
      </c>
      <c r="C38" s="14">
        <v>2414172</v>
      </c>
      <c r="D38" s="15">
        <v>1.26E-2</v>
      </c>
    </row>
    <row r="39" spans="1:4" x14ac:dyDescent="0.15">
      <c r="A39" s="13">
        <v>1964</v>
      </c>
      <c r="B39" s="14">
        <v>191888791</v>
      </c>
      <c r="C39" s="14">
        <v>2646993</v>
      </c>
      <c r="D39" s="15">
        <v>1.4E-2</v>
      </c>
    </row>
    <row r="40" spans="1:4" x14ac:dyDescent="0.15">
      <c r="A40" s="13">
        <v>1963</v>
      </c>
      <c r="B40" s="14">
        <v>189241798</v>
      </c>
      <c r="C40" s="14">
        <v>2704061</v>
      </c>
      <c r="D40" s="15">
        <v>1.4500000000000001E-2</v>
      </c>
    </row>
    <row r="41" spans="1:4" x14ac:dyDescent="0.15">
      <c r="A41" s="13">
        <v>1962</v>
      </c>
      <c r="B41" s="14">
        <v>186537737</v>
      </c>
      <c r="C41" s="14">
        <v>2846256</v>
      </c>
      <c r="D41" s="15">
        <v>1.55E-2</v>
      </c>
    </row>
    <row r="42" spans="1:4" x14ac:dyDescent="0.15">
      <c r="A42" s="13">
        <v>1961</v>
      </c>
      <c r="B42" s="14">
        <v>183691481</v>
      </c>
      <c r="C42" s="14">
        <v>3020323</v>
      </c>
      <c r="D42" s="15">
        <v>1.67E-2</v>
      </c>
    </row>
    <row r="43" spans="1:4" x14ac:dyDescent="0.15">
      <c r="A43" s="13">
        <v>1960</v>
      </c>
      <c r="B43" s="14">
        <v>180671158</v>
      </c>
      <c r="C43" s="14">
        <v>2841530</v>
      </c>
      <c r="D43" s="15">
        <v>1.6E-2</v>
      </c>
    </row>
    <row r="44" spans="1:4" x14ac:dyDescent="0.15">
      <c r="A44" s="13">
        <v>1959</v>
      </c>
      <c r="B44" s="14">
        <v>177829628</v>
      </c>
      <c r="C44" s="14">
        <v>2947724</v>
      </c>
      <c r="D44" s="15">
        <v>1.6899999999999998E-2</v>
      </c>
    </row>
    <row r="45" spans="1:4" x14ac:dyDescent="0.15">
      <c r="A45" s="13">
        <v>1958</v>
      </c>
      <c r="B45" s="14">
        <v>174881904</v>
      </c>
      <c r="C45" s="14">
        <v>2897774</v>
      </c>
      <c r="D45" s="15">
        <v>1.6799999999999999E-2</v>
      </c>
    </row>
    <row r="46" spans="1:4" x14ac:dyDescent="0.15">
      <c r="A46" s="13">
        <v>1957</v>
      </c>
      <c r="B46" s="14">
        <v>171984130</v>
      </c>
      <c r="C46" s="14">
        <v>3081099</v>
      </c>
      <c r="D46" s="15">
        <v>1.8200000000000001E-2</v>
      </c>
    </row>
    <row r="47" spans="1:4" x14ac:dyDescent="0.15">
      <c r="A47" s="13">
        <v>1956</v>
      </c>
      <c r="B47" s="14">
        <v>168903031</v>
      </c>
      <c r="C47" s="14">
        <v>2971829</v>
      </c>
      <c r="D47" s="15">
        <v>1.7899999999999999E-2</v>
      </c>
    </row>
    <row r="48" spans="1:4" x14ac:dyDescent="0.15">
      <c r="A48" s="13">
        <v>1955</v>
      </c>
      <c r="B48" s="14">
        <v>165931202</v>
      </c>
      <c r="C48" s="14">
        <v>2905348</v>
      </c>
      <c r="D48" s="15">
        <v>1.78E-2</v>
      </c>
    </row>
    <row r="49" spans="1:5" x14ac:dyDescent="0.15">
      <c r="A49" s="13">
        <v>1954</v>
      </c>
      <c r="B49" s="14">
        <v>163025854</v>
      </c>
      <c r="C49" s="14">
        <v>2841662</v>
      </c>
      <c r="D49" s="15">
        <v>1.77E-2</v>
      </c>
    </row>
    <row r="50" spans="1:5" x14ac:dyDescent="0.15">
      <c r="A50" s="13">
        <v>1953</v>
      </c>
      <c r="B50" s="14">
        <v>160184192</v>
      </c>
      <c r="C50" s="14">
        <v>2631452</v>
      </c>
      <c r="D50" s="15">
        <v>1.67E-2</v>
      </c>
    </row>
    <row r="51" spans="1:5" x14ac:dyDescent="0.15">
      <c r="A51" s="13">
        <v>1952</v>
      </c>
      <c r="B51" s="14">
        <v>157552740</v>
      </c>
      <c r="C51" s="14">
        <v>2674851</v>
      </c>
      <c r="D51" s="15">
        <v>1.7299999999999999E-2</v>
      </c>
    </row>
    <row r="52" spans="1:5" x14ac:dyDescent="0.15">
      <c r="A52" s="13">
        <v>1951</v>
      </c>
      <c r="B52" s="14">
        <v>154877889</v>
      </c>
      <c r="C52" s="14">
        <v>2606472</v>
      </c>
      <c r="D52" s="15">
        <v>1.7100000000000001E-2</v>
      </c>
    </row>
    <row r="53" spans="1:5" x14ac:dyDescent="0.15">
      <c r="A53" s="13">
        <v>1950</v>
      </c>
      <c r="B53" s="14">
        <v>152271417</v>
      </c>
      <c r="C53" s="14">
        <v>3083287</v>
      </c>
      <c r="D53" s="15">
        <v>2.07E-2</v>
      </c>
      <c r="E53">
        <f>C53/B54</f>
        <v>2.0667106692737552E-2</v>
      </c>
    </row>
    <row r="54" spans="1:5" x14ac:dyDescent="0.15">
      <c r="A54" s="13">
        <v>1949</v>
      </c>
      <c r="B54" s="14">
        <v>149188130</v>
      </c>
      <c r="C54" s="14">
        <v>2556828</v>
      </c>
      <c r="D54" s="15">
        <v>1.7399999999999999E-2</v>
      </c>
      <c r="E54">
        <f t="shared" ref="E54:E55" si="0">C54/B55</f>
        <v>1.7437122668391772E-2</v>
      </c>
    </row>
    <row r="55" spans="1:5" x14ac:dyDescent="0.15">
      <c r="A55" s="13">
        <v>1948</v>
      </c>
      <c r="B55" s="14">
        <v>146631302</v>
      </c>
      <c r="C55" s="14">
        <v>2505231</v>
      </c>
      <c r="D55" s="15">
        <v>1.7399999999999999E-2</v>
      </c>
      <c r="E55">
        <f t="shared" si="0"/>
        <v>1.7382219487548509E-2</v>
      </c>
    </row>
    <row r="56" spans="1:5" x14ac:dyDescent="0.15">
      <c r="A56" s="13">
        <v>1947</v>
      </c>
      <c r="B56" s="14">
        <v>144126071</v>
      </c>
      <c r="C56" s="14">
        <v>2737505</v>
      </c>
      <c r="D56" s="15">
        <v>1.9400000000000001E-2</v>
      </c>
    </row>
    <row r="57" spans="1:5" x14ac:dyDescent="0.15">
      <c r="A57" s="13">
        <v>1946</v>
      </c>
      <c r="B57" s="14">
        <v>141388566</v>
      </c>
      <c r="C57" s="14">
        <v>1460401</v>
      </c>
      <c r="D57" s="15">
        <v>1.04E-2</v>
      </c>
    </row>
    <row r="58" spans="1:5" x14ac:dyDescent="0.15">
      <c r="A58" s="13">
        <v>1945</v>
      </c>
      <c r="B58" s="14">
        <v>139928165</v>
      </c>
      <c r="C58" s="14">
        <v>1530820</v>
      </c>
      <c r="D58" s="15">
        <v>1.11E-2</v>
      </c>
    </row>
    <row r="59" spans="1:5" x14ac:dyDescent="0.15">
      <c r="A59" s="13">
        <v>1944</v>
      </c>
      <c r="B59" s="14">
        <v>138397345</v>
      </c>
      <c r="C59" s="14">
        <v>1657992</v>
      </c>
      <c r="D59" s="15">
        <v>1.21E-2</v>
      </c>
    </row>
    <row r="60" spans="1:5" x14ac:dyDescent="0.15">
      <c r="A60" s="13">
        <v>1943</v>
      </c>
      <c r="B60" s="14">
        <v>136739353</v>
      </c>
      <c r="C60" s="14">
        <v>1879800</v>
      </c>
      <c r="D60" s="15">
        <v>1.3899999999999999E-2</v>
      </c>
    </row>
    <row r="61" spans="1:5" x14ac:dyDescent="0.15">
      <c r="A61" s="13">
        <v>1942</v>
      </c>
      <c r="B61" s="14">
        <v>134859553</v>
      </c>
      <c r="C61" s="14">
        <v>1457082</v>
      </c>
      <c r="D61" s="15">
        <v>1.09E-2</v>
      </c>
    </row>
    <row r="62" spans="1:5" x14ac:dyDescent="0.15">
      <c r="A62" s="13">
        <v>1941</v>
      </c>
      <c r="B62" s="14">
        <v>133402471</v>
      </c>
      <c r="C62" s="14">
        <v>1280025</v>
      </c>
      <c r="D62" s="15">
        <v>9.7000000000000003E-3</v>
      </c>
    </row>
    <row r="63" spans="1:5" x14ac:dyDescent="0.15">
      <c r="A63" s="13">
        <v>1940</v>
      </c>
      <c r="B63" s="14">
        <v>132122446</v>
      </c>
      <c r="C63" s="14">
        <v>1242728</v>
      </c>
      <c r="D63" s="15">
        <v>9.4999999999999998E-3</v>
      </c>
    </row>
    <row r="64" spans="1:5" x14ac:dyDescent="0.15">
      <c r="A64" s="13">
        <v>1939</v>
      </c>
      <c r="B64" s="14">
        <v>130879718</v>
      </c>
      <c r="C64" s="14">
        <v>1054779</v>
      </c>
      <c r="D64" s="15">
        <v>8.0999999999999996E-3</v>
      </c>
    </row>
    <row r="65" spans="1:4" x14ac:dyDescent="0.15">
      <c r="A65" s="13">
        <v>1938</v>
      </c>
      <c r="B65" s="14">
        <v>129824939</v>
      </c>
      <c r="C65" s="14">
        <v>1000110</v>
      </c>
      <c r="D65" s="15">
        <v>7.7999999999999996E-3</v>
      </c>
    </row>
    <row r="66" spans="1:4" x14ac:dyDescent="0.15">
      <c r="A66" s="13">
        <v>1937</v>
      </c>
      <c r="B66" s="14">
        <v>128824829</v>
      </c>
      <c r="C66" s="14">
        <v>771649</v>
      </c>
      <c r="D66" s="15">
        <v>6.0000000000000001E-3</v>
      </c>
    </row>
    <row r="67" spans="1:4" x14ac:dyDescent="0.15">
      <c r="A67" s="13">
        <v>1936</v>
      </c>
      <c r="B67" s="14">
        <v>128053180</v>
      </c>
      <c r="C67" s="14">
        <v>802948</v>
      </c>
      <c r="D67" s="15">
        <v>6.3E-3</v>
      </c>
    </row>
    <row r="68" spans="1:4" x14ac:dyDescent="0.15">
      <c r="A68" s="13">
        <v>1935</v>
      </c>
      <c r="B68" s="14">
        <v>127250232</v>
      </c>
      <c r="C68" s="14">
        <v>876459</v>
      </c>
      <c r="D68" s="15">
        <v>6.8999999999999999E-3</v>
      </c>
    </row>
    <row r="69" spans="1:4" x14ac:dyDescent="0.15">
      <c r="A69" s="13">
        <v>1934</v>
      </c>
      <c r="B69" s="14">
        <v>126373773</v>
      </c>
      <c r="C69" s="14">
        <v>795010</v>
      </c>
      <c r="D69" s="15">
        <v>6.3E-3</v>
      </c>
    </row>
    <row r="70" spans="1:4" x14ac:dyDescent="0.15">
      <c r="A70" s="13">
        <v>1933</v>
      </c>
      <c r="B70" s="14">
        <v>125578763</v>
      </c>
      <c r="C70" s="14">
        <v>738292</v>
      </c>
      <c r="D70" s="15">
        <v>5.8999999999999999E-3</v>
      </c>
    </row>
    <row r="71" spans="1:4" x14ac:dyDescent="0.15">
      <c r="A71" s="13">
        <v>1932</v>
      </c>
      <c r="B71" s="14">
        <v>124840471</v>
      </c>
      <c r="C71" s="14">
        <v>800823</v>
      </c>
      <c r="D71" s="15">
        <v>6.4999999999999997E-3</v>
      </c>
    </row>
    <row r="72" spans="1:4" x14ac:dyDescent="0.15">
      <c r="A72" s="13">
        <v>1931</v>
      </c>
      <c r="B72" s="14">
        <v>124039648</v>
      </c>
      <c r="C72" s="14">
        <v>962907</v>
      </c>
      <c r="D72" s="15">
        <v>7.7999999999999996E-3</v>
      </c>
    </row>
    <row r="73" spans="1:4" x14ac:dyDescent="0.15">
      <c r="A73" s="13">
        <v>1930</v>
      </c>
      <c r="B73" s="14">
        <v>123076741</v>
      </c>
      <c r="C73" s="14">
        <v>1309741</v>
      </c>
      <c r="D73" s="15">
        <v>1.0800000000000001E-2</v>
      </c>
    </row>
    <row r="74" spans="1:4" x14ac:dyDescent="0.15">
      <c r="A74" s="13">
        <v>1929</v>
      </c>
      <c r="B74" s="14">
        <v>121767000</v>
      </c>
      <c r="C74" s="14">
        <v>1258000</v>
      </c>
      <c r="D74" s="15">
        <v>1.04E-2</v>
      </c>
    </row>
    <row r="75" spans="1:4" x14ac:dyDescent="0.15">
      <c r="A75" s="13">
        <v>1928</v>
      </c>
      <c r="B75" s="14">
        <v>120509000</v>
      </c>
      <c r="C75" s="14">
        <v>1474000</v>
      </c>
      <c r="D75" s="15">
        <v>1.24E-2</v>
      </c>
    </row>
    <row r="76" spans="1:4" x14ac:dyDescent="0.15">
      <c r="A76" s="13">
        <v>1927</v>
      </c>
      <c r="B76" s="14">
        <v>119035000</v>
      </c>
      <c r="C76" s="14">
        <v>1638000</v>
      </c>
      <c r="D76" s="15">
        <v>1.4E-2</v>
      </c>
    </row>
    <row r="77" spans="1:4" x14ac:dyDescent="0.15">
      <c r="A77" s="13">
        <v>1926</v>
      </c>
      <c r="B77" s="14">
        <v>117397000</v>
      </c>
      <c r="C77" s="14">
        <v>1568000</v>
      </c>
      <c r="D77" s="15">
        <v>1.35E-2</v>
      </c>
    </row>
    <row r="78" spans="1:4" x14ac:dyDescent="0.15">
      <c r="A78" s="13">
        <v>1925</v>
      </c>
      <c r="B78" s="14">
        <v>115829000</v>
      </c>
      <c r="C78" s="14">
        <v>1720000</v>
      </c>
      <c r="D78" s="15">
        <v>1.5100000000000001E-2</v>
      </c>
    </row>
    <row r="79" spans="1:4" x14ac:dyDescent="0.15">
      <c r="A79" s="13">
        <v>1924</v>
      </c>
      <c r="B79" s="14">
        <v>114109000</v>
      </c>
      <c r="C79" s="14">
        <v>2162000</v>
      </c>
      <c r="D79" s="15">
        <v>1.9300000000000001E-2</v>
      </c>
    </row>
    <row r="80" spans="1:4" x14ac:dyDescent="0.15">
      <c r="A80" s="13">
        <v>1923</v>
      </c>
      <c r="B80" s="14">
        <v>111947000</v>
      </c>
      <c r="C80" s="14">
        <v>1898000</v>
      </c>
      <c r="D80" s="15">
        <v>1.72E-2</v>
      </c>
    </row>
    <row r="81" spans="1:4" x14ac:dyDescent="0.15">
      <c r="A81" s="13">
        <v>1922</v>
      </c>
      <c r="B81" s="14">
        <v>110049000</v>
      </c>
      <c r="C81" s="14">
        <v>1511000</v>
      </c>
      <c r="D81" s="15">
        <v>1.3899999999999999E-2</v>
      </c>
    </row>
    <row r="82" spans="1:4" x14ac:dyDescent="0.15">
      <c r="A82" s="13">
        <v>1921</v>
      </c>
      <c r="B82" s="14">
        <v>108538000</v>
      </c>
      <c r="C82" s="14">
        <v>2077000</v>
      </c>
      <c r="D82" s="15">
        <v>1.95E-2</v>
      </c>
    </row>
    <row r="83" spans="1:4" x14ac:dyDescent="0.15">
      <c r="A83" s="13">
        <v>1920</v>
      </c>
      <c r="B83" s="14">
        <v>106461000</v>
      </c>
      <c r="C83" s="14">
        <v>1947000</v>
      </c>
      <c r="D83" s="15">
        <v>1.8599999999999998E-2</v>
      </c>
    </row>
    <row r="84" spans="1:4" x14ac:dyDescent="0.15">
      <c r="A84" s="13">
        <v>1919</v>
      </c>
      <c r="B84" s="14">
        <v>104514000</v>
      </c>
      <c r="C84" s="14">
        <v>1306000</v>
      </c>
      <c r="D84" s="15">
        <v>1.2699999999999999E-2</v>
      </c>
    </row>
    <row r="85" spans="1:4" x14ac:dyDescent="0.15">
      <c r="A85" s="13">
        <v>1918</v>
      </c>
      <c r="B85" s="14">
        <v>103208000</v>
      </c>
      <c r="C85" s="14">
        <v>-60000</v>
      </c>
      <c r="D85" s="15">
        <v>-5.9999999999999995E-4</v>
      </c>
    </row>
    <row r="86" spans="1:4" x14ac:dyDescent="0.15">
      <c r="A86" s="13">
        <v>1917</v>
      </c>
      <c r="B86" s="14">
        <v>103268000</v>
      </c>
      <c r="C86" s="14">
        <v>1307000</v>
      </c>
      <c r="D86" s="15">
        <v>1.2800000000000001E-2</v>
      </c>
    </row>
    <row r="87" spans="1:4" x14ac:dyDescent="0.15">
      <c r="A87" s="13">
        <v>1916</v>
      </c>
      <c r="B87" s="14">
        <v>101961000</v>
      </c>
      <c r="C87" s="14">
        <v>1415000</v>
      </c>
      <c r="D87" s="15">
        <v>1.41E-2</v>
      </c>
    </row>
    <row r="88" spans="1:4" x14ac:dyDescent="0.15">
      <c r="A88" s="13">
        <v>1915</v>
      </c>
      <c r="B88" s="14">
        <v>100546000</v>
      </c>
      <c r="C88" s="14">
        <v>1435000</v>
      </c>
      <c r="D88" s="15">
        <v>1.4500000000000001E-2</v>
      </c>
    </row>
    <row r="89" spans="1:4" x14ac:dyDescent="0.15">
      <c r="A89" s="13">
        <v>1914</v>
      </c>
      <c r="B89" s="14">
        <v>99111000</v>
      </c>
      <c r="C89" s="14">
        <v>1886000</v>
      </c>
      <c r="D89" s="15">
        <v>1.9400000000000001E-2</v>
      </c>
    </row>
    <row r="90" spans="1:4" x14ac:dyDescent="0.15">
      <c r="A90" s="13">
        <v>1913</v>
      </c>
      <c r="B90" s="14">
        <v>97225000</v>
      </c>
      <c r="C90" s="14">
        <v>1890000</v>
      </c>
      <c r="D90" s="15">
        <v>1.9800000000000002E-2</v>
      </c>
    </row>
    <row r="91" spans="1:4" x14ac:dyDescent="0.15">
      <c r="A91" s="13">
        <v>1912</v>
      </c>
      <c r="B91" s="14">
        <v>95335000</v>
      </c>
      <c r="C91" s="14">
        <v>1472000</v>
      </c>
      <c r="D91" s="15">
        <v>1.5699999999999999E-2</v>
      </c>
    </row>
    <row r="92" spans="1:4" x14ac:dyDescent="0.15">
      <c r="A92" s="13">
        <v>1911</v>
      </c>
      <c r="B92" s="14">
        <v>93863000</v>
      </c>
      <c r="C92" s="14">
        <v>1456000</v>
      </c>
      <c r="D92" s="15">
        <v>1.5800000000000002E-2</v>
      </c>
    </row>
    <row r="93" spans="1:4" x14ac:dyDescent="0.15">
      <c r="A93" s="13">
        <v>1910</v>
      </c>
      <c r="B93" s="14">
        <v>92407000</v>
      </c>
      <c r="C93" s="14">
        <v>1917000</v>
      </c>
      <c r="D93" s="15">
        <v>2.12E-2</v>
      </c>
    </row>
    <row r="94" spans="1:4" x14ac:dyDescent="0.15">
      <c r="A94" s="13">
        <v>1909</v>
      </c>
      <c r="B94" s="14">
        <v>90490000</v>
      </c>
      <c r="C94" s="14">
        <v>1780000</v>
      </c>
      <c r="D94" s="15">
        <v>2.01E-2</v>
      </c>
    </row>
    <row r="95" spans="1:4" x14ac:dyDescent="0.15">
      <c r="A95" s="13">
        <v>1908</v>
      </c>
      <c r="B95" s="14">
        <v>88710000</v>
      </c>
      <c r="C95" s="14">
        <v>1702000</v>
      </c>
      <c r="D95" s="15">
        <v>1.9599999999999999E-2</v>
      </c>
    </row>
    <row r="96" spans="1:4" x14ac:dyDescent="0.15">
      <c r="A96" s="13">
        <v>1907</v>
      </c>
      <c r="B96" s="14">
        <v>87008000</v>
      </c>
      <c r="C96" s="14">
        <v>1558000</v>
      </c>
      <c r="D96" s="15">
        <v>1.8200000000000001E-2</v>
      </c>
    </row>
    <row r="97" spans="1:4" x14ac:dyDescent="0.15">
      <c r="A97" s="13">
        <v>1906</v>
      </c>
      <c r="B97" s="14">
        <v>85450000</v>
      </c>
      <c r="C97" s="14">
        <v>1628000</v>
      </c>
      <c r="D97" s="15">
        <v>1.9400000000000001E-2</v>
      </c>
    </row>
    <row r="98" spans="1:4" x14ac:dyDescent="0.15">
      <c r="A98" s="13">
        <v>1905</v>
      </c>
      <c r="B98" s="14">
        <v>83822000</v>
      </c>
      <c r="C98" s="14">
        <v>1656000</v>
      </c>
      <c r="D98" s="15">
        <v>2.0199999999999999E-2</v>
      </c>
    </row>
    <row r="99" spans="1:4" x14ac:dyDescent="0.15">
      <c r="A99" s="13">
        <v>1904</v>
      </c>
      <c r="B99" s="14">
        <v>82166000</v>
      </c>
      <c r="C99" s="14">
        <v>1534000</v>
      </c>
      <c r="D99" s="15">
        <v>1.9E-2</v>
      </c>
    </row>
    <row r="100" spans="1:4" x14ac:dyDescent="0.15">
      <c r="A100" s="13">
        <v>1903</v>
      </c>
      <c r="B100" s="14">
        <v>80632000</v>
      </c>
      <c r="C100" s="14">
        <v>1469000</v>
      </c>
      <c r="D100" s="15">
        <v>1.8599999999999998E-2</v>
      </c>
    </row>
    <row r="101" spans="1:4" x14ac:dyDescent="0.15">
      <c r="A101" s="13">
        <v>1902</v>
      </c>
      <c r="B101" s="14">
        <v>79163000</v>
      </c>
      <c r="C101" s="14">
        <v>1579000</v>
      </c>
      <c r="D101" s="15">
        <v>2.0400000000000001E-2</v>
      </c>
    </row>
    <row r="102" spans="1:4" x14ac:dyDescent="0.15">
      <c r="A102" s="13">
        <v>1901</v>
      </c>
      <c r="B102" s="14">
        <v>77584000</v>
      </c>
      <c r="C102" s="14">
        <v>1490000</v>
      </c>
      <c r="D102" s="15">
        <v>1.9599999999999999E-2</v>
      </c>
    </row>
    <row r="103" spans="1:4" x14ac:dyDescent="0.15">
      <c r="A103" s="13">
        <v>1900</v>
      </c>
      <c r="B103" s="14">
        <v>76094000</v>
      </c>
      <c r="C103" s="13"/>
      <c r="D103" s="13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OECD.Stat export</vt:lpstr>
      <vt:lpstr>1900- 1999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OECD.Stat</dc:creator>
  <cp:lastModifiedBy>浥晨 郑</cp:lastModifiedBy>
  <dcterms:created xsi:type="dcterms:W3CDTF">2024-05-15T19:40:16Z</dcterms:created>
  <dcterms:modified xsi:type="dcterms:W3CDTF">2025-04-07T11:36:02Z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3B8515772F8B24F7E6994466714E21F8_43</vt:lpwstr>
  </property>
  <property fmtid="{D5CDD505-2E9C-101B-9397-08002B2CF9AE}" pid="3" name="KSOProductBuildVer">
    <vt:lpwstr>2052-6.5.2.8766</vt:lpwstr>
  </property>
</Properties>
</file>